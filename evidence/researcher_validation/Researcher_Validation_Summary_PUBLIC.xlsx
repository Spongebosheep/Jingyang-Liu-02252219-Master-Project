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739c6a188e4877" /></Relationships>
</file>

<file path=xl/workbook.xml><?xml version="1.0" encoding="utf-8"?>
<x:workbook xmlns:x="http://schemas.openxmlformats.org/spreadsheetml/2006/main">
  <x:sheets>
    <x:sheet xmlns:r="http://schemas.openxmlformats.org/officeDocument/2006/relationships" name="总览_Summary" sheetId="1" r:id="R7f4558b771454226"/>
    <x:sheet xmlns:r="http://schemas.openxmlformats.org/officeDocument/2006/relationships" name="条件数据_Conditions" sheetId="2" r:id="R91d80adc60444b84"/>
    <x:sheet xmlns:r="http://schemas.openxmlformats.org/officeDocument/2006/relationships" name="客观计分_Objective" sheetId="3" r:id="R128932cf18ce4786"/>
    <x:sheet xmlns:r="http://schemas.openxmlformats.org/officeDocument/2006/relationships" name="体验量表_Ratings" sheetId="4" r:id="R0f1133244e3d4f18"/>
    <x:sheet xmlns:r="http://schemas.openxmlformats.org/officeDocument/2006/relationships" name="时间_Timing" sheetId="5" r:id="Re35a36e1c2ec45a2"/>
    <x:sheet xmlns:r="http://schemas.openxmlformats.org/officeDocument/2006/relationships" name="最终选择_Preference" sheetId="6" r:id="R50ebcda9fa024188"/>
    <x:sheet xmlns:r="http://schemas.openxmlformats.org/officeDocument/2006/relationships" name="研究阶段_Stages" sheetId="7" r:id="R3004d000b3f7424f"/>
    <x:sheet xmlns:r="http://schemas.openxmlformats.org/officeDocument/2006/relationships" name="功能保留_Features" sheetId="8" r:id="R4451801a9ae64280"/>
    <x:sheet xmlns:r="http://schemas.openxmlformats.org/officeDocument/2006/relationships" name="开放回答_OpenText" sheetId="9" r:id="R0f7b82c931d24c57"/>
    <x:sheet xmlns:r="http://schemas.openxmlformats.org/officeDocument/2006/relationships" name="证据链_EvidenceChain" sheetId="10" r:id="R2bc7eabbd9a1492d"/>
    <x:sheet xmlns:r="http://schemas.openxmlformats.org/officeDocument/2006/relationships" name="偏差记录_Deviations" sheetId="11" r:id="R405462d9d2014e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0">
    <x:font>
      <x:sz val="11"/>
      <x:name val="Carlito"/>
    </x:font>
    <x:font>
      <x:b/>
      <x:sz val="16"/>
      <x:color rgb="FFFFFFFF"/>
      <x:name val="Noto Sans CJK SC"/>
    </x:font>
    <x:font>
      <x:i/>
      <x:sz val="10"/>
      <x:color rgb="FF1F2937"/>
      <x:name val="Noto Sans CJK SC"/>
    </x:font>
    <x:font>
      <x:b/>
      <x:sz val="11"/>
      <x:color rgb="FF17324D"/>
      <x:name val="Noto Sans CJK SC"/>
    </x:font>
    <x:font>
      <x:b/>
      <x:sz val="10"/>
      <x:color rgb="FFFFFFFF"/>
      <x:name val="Noto Sans CJK SC"/>
    </x:font>
    <x:font>
      <x:sz val="10"/>
      <x:color rgb="FF1F2937"/>
      <x:name val="Noto Sans CJK SC"/>
    </x:font>
    <x:font>
      <x:b/>
      <x:sz val="10"/>
      <x:color rgb="FF991B1B"/>
      <x:name val="Noto Sans CJK SC"/>
    </x:font>
    <x:font>
      <x:b/>
      <x:sz val="10"/>
      <x:color rgb="FF166534"/>
      <x:name val="Noto Sans CJK SC"/>
    </x:font>
    <x:font>
      <x:sz val="10"/>
      <x:color rgb="FFB91C1C"/>
      <x:name val="Noto Sans CJK SC"/>
    </x:font>
    <x:font>
      <x:b/>
      <x:sz val="10"/>
      <x:color rgb="FFB91C1C"/>
      <x:name val="Noto Sans CJK SC"/>
    </x:font>
  </x:fonts>
  <x:fills count="9">
    <x:fill>
      <x:patternFill patternType="none"/>
    </x:fill>
    <x:fill>
      <x:patternFill patternType="gray125"/>
    </x:fill>
    <x:fill>
      <x:patternFill patternType="solid">
        <x:fgColor rgb="FF17324D"/>
      </x:patternFill>
    </x:fill>
    <x:fill>
      <x:patternFill patternType="solid">
        <x:fgColor rgb="FFDFF3F7"/>
      </x:patternFill>
    </x:fill>
    <x:fill>
      <x:patternFill patternType="solid">
        <x:fgColor rgb="FF0E7490"/>
      </x:patternFill>
    </x:fill>
    <x:fill>
      <x:patternFill patternType="solid">
        <x:fgColor rgb="FFF5F8FA"/>
      </x:patternFill>
    </x:fill>
    <x:fill>
      <x:patternFill patternType="solid">
        <x:fgColor rgb="FFFEE2E2"/>
      </x:patternFill>
    </x:fill>
    <x:fill>
      <x:patternFill patternType="solid">
        <x:fgColor rgb="FFDCFCE7"/>
      </x:patternFill>
    </x:fill>
    <x:fill>
      <x:patternFill patternType="solid">
        <x:fgColor rgb="FFFCE8E6"/>
      </x:patternFill>
    </x:fill>
  </x:fills>
  <x:borders count="3">
    <x:border/>
    <x:border>
      <x:bottom style="medium">
        <x:color rgb="FF17324D"/>
      </x:bottom>
    </x:border>
    <x:border>
      <x:bottom style="thin">
        <x:color rgb="FFC7D2DA"/>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0"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7" fillId="7" borderId="2"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200" fontId="5" fillId="5" borderId="2"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1" fontId="5" fillId="5" borderId="0" xfId="0" applyNumberFormat="1" applyFont="1" applyFill="1" applyBorder="1" applyAlignment="1">
      <x:alignment vertical="top" wrapText="1"/>
    </x:xf>
    <x:xf numFmtId="201" fontId="5" fillId="5" borderId="2" xfId="0" applyNumberFormat="1" applyFont="1" applyFill="1" applyBorder="1" applyAlignment="1">
      <x:alignment vertical="top" wrapText="1"/>
    </x:xf>
    <x:xf numFmtId="201" fontId="5" fillId="0"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f598d065fa4c12" /><Relationship Type="http://schemas.openxmlformats.org/officeDocument/2006/relationships/theme" Target="/xl/theme/theme1.xml" Id="R119dd7bbfcf64abb" /><Relationship Type="http://schemas.openxmlformats.org/officeDocument/2006/relationships/sharedStrings" Target="/xl/sharedStrings.xml" Id="Rb9c4e5c36c2a4dfa" /><Relationship Type="http://schemas.openxmlformats.org/officeDocument/2006/relationships/worksheet" Target="/xl/worksheets/sheet1.xml" Id="R7f4558b771454226" /><Relationship Type="http://schemas.openxmlformats.org/officeDocument/2006/relationships/worksheet" Target="/xl/worksheets/sheet2.xml" Id="R91d80adc60444b84" /><Relationship Type="http://schemas.openxmlformats.org/officeDocument/2006/relationships/worksheet" Target="/xl/worksheets/sheet3.xml" Id="R128932cf18ce4786" /><Relationship Type="http://schemas.openxmlformats.org/officeDocument/2006/relationships/worksheet" Target="/xl/worksheets/sheet4.xml" Id="R0f1133244e3d4f18" /><Relationship Type="http://schemas.openxmlformats.org/officeDocument/2006/relationships/worksheet" Target="/xl/worksheets/sheet5.xml" Id="Re35a36e1c2ec45a2" /><Relationship Type="http://schemas.openxmlformats.org/officeDocument/2006/relationships/worksheet" Target="/xl/worksheets/sheet6.xml" Id="R50ebcda9fa024188" /><Relationship Type="http://schemas.openxmlformats.org/officeDocument/2006/relationships/worksheet" Target="/xl/worksheets/sheet7.xml" Id="R3004d000b3f7424f" /><Relationship Type="http://schemas.openxmlformats.org/officeDocument/2006/relationships/worksheet" Target="/xl/worksheets/sheet8.xml" Id="R4451801a9ae64280" /><Relationship Type="http://schemas.openxmlformats.org/officeDocument/2006/relationships/worksheet" Target="/xl/worksheets/sheet9.xml" Id="R0f7b82c931d24c57" /><Relationship Type="http://schemas.openxmlformats.org/officeDocument/2006/relationships/worksheet" Target="/xl/worksheets/sheet10.xml" Id="R2bc7eabbd9a1492d" /><Relationship Type="http://schemas.openxmlformats.org/officeDocument/2006/relationships/worksheet" Target="/xl/worksheets/sheet11.xml" Id="R405462d9d2014e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4" hidden="0" customWidth="1"/>
    <x:col min="2" max="2" width="48" hidden="0" customWidth="1"/>
    <x:col min="3" max="3" width="20" hidden="0" customWidth="1"/>
    <x:col min="4" max="4" width="5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0" customHeight="1">
      <x:c r="A1" s="3" t="str">
        <x:v>PurrStone 研究者验证汇总 / Researcher Validation Summary</x:v>
      </x:c>
      <x:c r="B1" s="3"/>
      <x:c r="C1" s="3"/>
      <x:c r="D1" s="3"/>
      <x:c r="E1" s="3"/>
      <x:c r="F1" s="3"/>
      <x:c r="G1" s="3"/>
      <x:c r="H1" s="3"/>
      <x:c r="I1" s="3"/>
      <x:c r="J1" s="3"/>
    </x:row>
    <x:row r="2" ht="34" customHeight="1">
      <x:c r="A2" s="7" t="str">
        <x:v>正式n=3结果、Pilot、Gold与版本证据链。派生结论以v0.8.0 Gold和三份2026-08-11最终返还包为准。</x:v>
      </x:c>
      <x:c r="B2" s="7"/>
      <x:c r="C2" s="7"/>
      <x:c r="D2" s="7"/>
      <x:c r="E2" s="7"/>
      <x:c r="F2" s="7"/>
      <x:c r="G2" s="7"/>
      <x:c r="H2" s="7"/>
      <x:c r="I2" s="7"/>
      <x:c r="J2" s="7"/>
    </x:row>
    <x:row r="4" ht="24" customHeight="1">
      <x:c r="A4" s="9" t="str">
        <x:v>研究范围 / Study scope</x:v>
      </x:c>
      <x:c r="B4" s="9"/>
      <x:c r="C4" s="9"/>
      <x:c r="D4" s="9"/>
      <x:c r="E4" s="9"/>
      <x:c r="F4" s="9"/>
      <x:c r="G4" s="9"/>
      <x:c r="H4" s="9"/>
      <x:c r="I4" s="9"/>
      <x:c r="J4" s="9"/>
    </x:row>
    <x:row r="5" ht="30" customHeight="1">
      <x:c r="A5" s="14" t="str">
        <x:v>项目 / Field</x:v>
      </x:c>
      <x:c r="B5" s="14" t="str">
        <x:v>值 / Value</x:v>
      </x:c>
      <x:c r="C5" s="14" t="str">
        <x:v>解释 / Interpretation</x:v>
      </x:c>
    </x:row>
    <x:row r="6">
      <x:c r="A6" s="19" t="str">
        <x:v>Study ID</x:v>
      </x:c>
      <x:c r="B6" s="19" t="str">
        <x:v>PS-TRV-2026-01</x:v>
      </x:c>
      <x:c r="C6" s="19" t="str">
        <x:v>3 researchers × 2 matched conditions × 3 protocols</x:v>
      </x:c>
    </x:row>
    <x:row r="7">
      <x:c r="A7" s="21" t="str">
        <x:v>正式样本 / Formal sample</x:v>
      </x:c>
      <x:c r="B7" s="21" t="n">
        <x:v>3</x:v>
      </x:c>
      <x:c r="C7" s="21" t="str">
        <x:v>P01 P01, P02 P02, P03 P03; Pilot excluded</x:v>
      </x:c>
    </x:row>
    <x:row r="8">
      <x:c r="A8" s="19" t="str">
        <x:v>条件 / Conditions</x:v>
      </x:c>
      <x:c r="B8" s="19" t="str">
        <x:v>Manual / Prototype</x:v>
      </x:c>
      <x:c r="C8" s="19" t="str">
        <x:v>每人完成两条件；案例与顺序固定分配</x:v>
      </x:c>
    </x:row>
    <x:row r="9">
      <x:c r="A9" s="21" t="str">
        <x:v>Gold authority</x:v>
      </x:c>
      <x:c r="B9" s="21" t="str">
        <x:v>PurrStone_Gold_Review_GoldReviewer01_v0.8.0_COMPLETED_2026-08-11.xlsx</x:v>
      </x:c>
      <x:c r="C9" s="21" t="str">
        <x:v>24 Topic rows + 36 Item rows independently confirmed by GoldReviewer01</x:v>
      </x:c>
    </x:row>
    <x:row r="10">
      <x:c r="A10" s="20" t="str">
        <x:v>Timing measure</x:v>
      </x:c>
      <x:c r="B10" s="20" t="str">
        <x:v>Objectively timed active review minutes recorded in PC11</x:v>
      </x:c>
      <x:c r="C10" s="20" t="str">
        <x:v>Active task time excluding instructions, breaks and questionnaire</x:v>
      </x:c>
    </x:row>
    <x:row r="12" ht="24" customHeight="1">
      <x:c r="A12" s="9" t="str">
        <x:v>关键结果 / Key results</x:v>
      </x:c>
      <x:c r="B12" s="9"/>
      <x:c r="C12" s="9"/>
      <x:c r="D12" s="9"/>
      <x:c r="E12" s="9"/>
      <x:c r="F12" s="9"/>
      <x:c r="G12" s="9"/>
      <x:c r="H12" s="9"/>
      <x:c r="I12" s="9"/>
      <x:c r="J12" s="9"/>
    </x:row>
    <x:row r="13" ht="30" customHeight="1">
      <x:c r="A13" s="14" t="str">
        <x:v>指标 / Metric</x:v>
      </x:c>
      <x:c r="B13" s="14" t="str">
        <x:v>Manual</x:v>
      </x:c>
      <x:c r="C13" s="14" t="str">
        <x:v>Prototype</x:v>
      </x:c>
      <x:c r="D13" s="14" t="str">
        <x:v>安全解释 / Safe interpretation</x:v>
      </x:c>
    </x:row>
    <x:row r="14">
      <x:c r="A14" s="19" t="str">
        <x:v>Topic正确 / Topic correct</x:v>
      </x:c>
      <x:c r="B14" s="19" t="n">
        <x:f>SUMIF('条件数据_Conditions'!$D$5:$D$10,"Manual",'条件数据_Conditions'!$F$5:$F$10)</x:f>
        <x:v>11</x:v>
      </x:c>
      <x:c r="C14" s="19" t="n">
        <x:f>SUMIF('条件数据_Conditions'!$D$5:$D$10,"Prototype",'条件数据_Conditions'!$F$5:$F$10)</x:f>
        <x:v>12</x:v>
      </x:c>
      <x:c r="D14" s="19" t="str">
        <x:v>11/12 vs 12/12</x:v>
      </x:c>
    </x:row>
    <x:row r="15">
      <x:c r="A15" s="21" t="str">
        <x:v>Evidence正确 / Item correct</x:v>
      </x:c>
      <x:c r="B15" s="21" t="n">
        <x:f>SUMIF('条件数据_Conditions'!$D$5:$D$10,"Manual",'条件数据_Conditions'!$H$5:$H$10)</x:f>
        <x:v>16</x:v>
      </x:c>
      <x:c r="C15" s="21" t="n">
        <x:v>17</x:v>
      </x:c>
      <x:c r="D15" s="21" t="str">
        <x:v>16/18 vs 17/18</x:v>
      </x:c>
    </x:row>
    <x:row r="16">
      <x:c r="A16" s="19" t="str">
        <x:v>E3–E6问题识别 / Issues detected</x:v>
      </x:c>
      <x:c r="B16" s="19" t="n">
        <x:f>SUMIF('条件数据_Conditions'!$D$5:$D$10,"Manual",'条件数据_Conditions'!$J$5:$J$10)</x:f>
        <x:v>10</x:v>
      </x:c>
      <x:c r="C16" s="19" t="n">
        <x:v>11</x:v>
      </x:c>
      <x:c r="D16" s="19" t="str">
        <x:v>10/12 vs 11/12</x:v>
      </x:c>
    </x:row>
    <x:row r="17">
      <x:c r="A17" s="21" t="str">
        <x:v>Missingness正确 / Correct</x:v>
      </x:c>
      <x:c r="B17" s="21" t="n">
        <x:f>SUMIF('条件数据_Conditions'!$D$5:$D$10,"Manual",'条件数据_Conditions'!$L$5:$L$10)</x:f>
        <x:v>2</x:v>
      </x:c>
      <x:c r="C17" s="21" t="n">
        <x:f>SUMIF('条件数据_Conditions'!$D$5:$D$10,"Prototype",'条件数据_Conditions'!$L$5:$L$10)</x:f>
        <x:v>3</x:v>
      </x:c>
      <x:c r="D17" s="21" t="str">
        <x:v>2/3 vs 3/3</x:v>
      </x:c>
    </x:row>
    <x:row r="18">
      <x:c r="A18" s="19" t="str">
        <x:v>False approvals</x:v>
      </x:c>
      <x:c r="B18" s="19" t="n">
        <x:f>SUMIF('条件数据_Conditions'!$D$5:$D$10,"Manual",'条件数据_Conditions'!$M$5:$M$10)</x:f>
        <x:v>2</x:v>
      </x:c>
      <x:c r="C18" s="19" t="n">
        <x:v>1</x:v>
      </x:c>
      <x:c r="D18" s="19" t="str">
        <x:v>Manual 2 vs Prototype 1; P02 Prototype error is NP02-A-E5 wrong source link</x:v>
      </x:c>
    </x:row>
    <x:row r="19">
      <x:c r="A19" s="21" t="str">
        <x:v>Active time mean (min)</x:v>
      </x:c>
      <x:c r="B19" s="21" t="n">
        <x:f>'时间_Timing'!$B$11</x:f>
        <x:v>20.333333333333332</x:v>
      </x:c>
      <x:c r="C19" s="21" t="n">
        <x:f>'时间_Timing'!$C$11</x:f>
        <x:v>17.333333333333332</x:v>
      </x:c>
      <x:c r="D19" s="21" t="str">
        <x:v>20.3 vs 17.3; recorded objective active time</x:v>
      </x:c>
    </x:row>
    <x:row r="20">
      <x:c r="A20" s="19" t="str">
        <x:v>Active time median (min)</x:v>
      </x:c>
      <x:c r="B20" s="19" t="n">
        <x:f>'时间_Timing'!$B$12</x:f>
        <x:v>21</x:v>
      </x:c>
      <x:c r="C20" s="19" t="n">
        <x:f>'时间_Timing'!$C$12</x:f>
        <x:v>19</x:v>
      </x:c>
      <x:c r="D20" s="19" t="str">
        <x:v>21 vs 19</x:v>
      </x:c>
    </x:row>
    <x:row r="21">
      <x:c r="A21" s="21" t="str">
        <x:v>Mental effort median (1–7)</x:v>
      </x:c>
      <x:c r="B21" s="21" t="n">
        <x:f>'体验量表_Ratings'!$B$19</x:f>
        <x:v>6</x:v>
      </x:c>
      <x:c r="C21" s="21" t="n">
        <x:f>'体验量表_Ratings'!$C$19</x:f>
        <x:v>5</x:v>
      </x:c>
      <x:c r="D21" s="21" t="str">
        <x:v>6 vs 5; lower is better</x:v>
      </x:c>
    </x:row>
    <x:row r="22">
      <x:c r="A22" s="20" t="str">
        <x:v>Condition preference</x:v>
      </x:c>
      <x:c r="B22" s="20" t="str">
        <x:v>0/3</x:v>
      </x:c>
      <x:c r="C22" s="20" t="str">
        <x:v>3/3</x:v>
      </x:c>
      <x:c r="D22" s="20" t="str">
        <x:v>All preferred Prototype; preferred operating mode remained conditional</x:v>
      </x:c>
    </x:row>
    <x:row r="24" ht="24" customHeight="1">
      <x:c r="A24" s="9" t="str">
        <x:v>结论边界 / Claim boundaries</x:v>
      </x:c>
      <x:c r="B24" s="9"/>
      <x:c r="C24" s="9"/>
      <x:c r="D24" s="9"/>
      <x:c r="E24" s="9"/>
      <x:c r="F24" s="9"/>
      <x:c r="G24" s="9"/>
      <x:c r="H24" s="9"/>
      <x:c r="I24" s="9"/>
      <x:c r="J24" s="9"/>
    </x:row>
    <x:row r="25" ht="30" customHeight="1">
      <x:c r="A25" s="14" t="str">
        <x:v>可以支持 / Supported</x:v>
      </x:c>
      <x:c r="B25" s="14" t="str">
        <x:v>不能声称 / Not supported</x:v>
      </x:c>
    </x:row>
    <x:row r="26" ht="76" customHeight="1">
      <x:c r="A26" s="19" t="str">
        <x:v>Prototype在三个受控合成协议中支持完整审阅路径；量表均提高或持平，mental effort均下降1分，三人均偏好Prototype。</x:v>
      </x:c>
      <x:c r="B26" s="19" t="str">
        <x:v>不能声称统计显著、普遍提高准确率、已证明大规模效率、Evidence Record可替代全文或已完成生产治理。</x:v>
      </x:c>
    </x:row>
    <x:row r="27" ht="76" customHeight="1">
      <x:c r="A27" s="22" t="str">
        <x:v>三位研究者的客观active-time记录均为Prototype更短，平均配对差3分钟。</x:v>
      </x:c>
      <x:c r="B27" s="22" t="str">
        <x:v>PC11为六次条件任务的客观active-time记录；n=3仅作描述性比较，不能单独证明scalability。</x:v>
      </x:c>
    </x:row>
  </x:sheetData>
  <x:mergeCells>
    <x:mergeCell ref="A1:J1"/>
    <x:mergeCell ref="A2:J2"/>
    <x:mergeCell ref="A4:J4"/>
    <x:mergeCell ref="A12:J12"/>
    <x:mergeCell ref="A24: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8"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4" hidden="0" customWidth="1"/>
    <x:col min="15" max="15" width="14" hidden="0" customWidth="1"/>
    <x:col min="16" max="16" width="14" hidden="0" customWidth="1"/>
    <x:col min="17" max="17" width="44" hidden="0" customWidth="1"/>
  </x:cols>
  <x:sheetData>
    <x:row r="1" ht="30" customHeight="1">
      <x:c r="A1" s="3" t="str">
        <x:v>条件级数据 / Condition-level Data</x:v>
      </x:c>
      <x:c r="B1" s="3"/>
      <x:c r="C1" s="3"/>
      <x:c r="D1" s="3"/>
      <x:c r="E1" s="3"/>
      <x:c r="F1" s="3"/>
      <x:c r="G1" s="3"/>
      <x:c r="H1" s="3"/>
      <x:c r="I1" s="3"/>
      <x:c r="J1" s="3"/>
      <x:c r="K1" s="3"/>
      <x:c r="L1" s="3"/>
      <x:c r="M1" s="3"/>
      <x:c r="N1" s="3"/>
      <x:c r="O1" s="3"/>
      <x:c r="P1" s="3"/>
      <x:c r="Q1" s="3"/>
    </x:row>
    <x:row r="2" ht="34" customHeight="1">
      <x:c r="A2" s="7" t="str">
        <x:v>每行是一位Researcher在一个条件中的最终结果。</x:v>
      </x:c>
      <x:c r="B2" s="7"/>
      <x:c r="C2" s="7"/>
      <x:c r="D2" s="7"/>
      <x:c r="E2" s="7"/>
      <x:c r="F2" s="7"/>
      <x:c r="G2" s="7"/>
      <x:c r="H2" s="7"/>
      <x:c r="I2" s="7"/>
      <x:c r="J2" s="7"/>
      <x:c r="K2" s="7"/>
      <x:c r="L2" s="7"/>
      <x:c r="M2" s="7"/>
      <x:c r="N2" s="7"/>
      <x:c r="O2" s="7"/>
      <x:c r="P2" s="7"/>
      <x:c r="Q2" s="7"/>
    </x:row>
    <x:row r="4" ht="30" customHeight="1">
      <x:c r="A4" s="14" t="str">
        <x:v>Participant</x:v>
      </x:c>
      <x:c r="B4" s="14" t="str">
        <x:v>Name</x:v>
      </x:c>
      <x:c r="C4" s="14" t="str">
        <x:v>Round</x:v>
      </x:c>
      <x:c r="D4" s="14" t="str">
        <x:v>Condition</x:v>
      </x:c>
      <x:c r="E4" s="14" t="str">
        <x:v>Case</x:v>
      </x:c>
      <x:c r="F4" s="14" t="str">
        <x:v>Topic correct</x:v>
      </x:c>
      <x:c r="G4" s="14" t="str">
        <x:v>Topic total</x:v>
      </x:c>
      <x:c r="H4" s="14" t="str">
        <x:v>Item correct</x:v>
      </x:c>
      <x:c r="I4" s="14" t="str">
        <x:v>Item total</x:v>
      </x:c>
      <x:c r="J4" s="14" t="str">
        <x:v>Issues detected</x:v>
      </x:c>
      <x:c r="K4" s="14" t="str">
        <x:v>Issues total</x:v>
      </x:c>
      <x:c r="L4" s="14" t="str">
        <x:v>Missingness correct</x:v>
      </x:c>
      <x:c r="M4" s="14" t="str">
        <x:v>False approvals</x:v>
      </x:c>
      <x:c r="N4" s="14" t="str">
        <x:v>PC3 Ease</x:v>
      </x:c>
      <x:c r="O4" s="14" t="str">
        <x:v>PC8 Mental effort</x:v>
      </x:c>
      <x:c r="P4" s="14" t="str">
        <x:v>PC11 Time min</x:v>
      </x:c>
      <x:c r="Q4" s="14" t="str">
        <x:v>Source file</x:v>
      </x:c>
    </x:row>
    <x:row r="5">
      <x:c r="A5" s="19" t="str">
        <x:v>P01</x:v>
      </x:c>
      <x:c r="B5" s="19" t="str">
        <x:v>P01</x:v>
      </x:c>
      <x:c r="C5" s="19" t="n">
        <x:v>1</x:v>
      </x:c>
      <x:c r="D5" s="19" t="str">
        <x:v>Manual</x:v>
      </x:c>
      <x:c r="E5" s="19" t="str">
        <x:v>NP01-A</x:v>
      </x:c>
      <x:c r="F5" s="19" t="n">
        <x:v>3</x:v>
      </x:c>
      <x:c r="G5" s="19" t="n">
        <x:v>4</x:v>
      </x:c>
      <x:c r="H5" s="19" t="n">
        <x:v>4</x:v>
      </x:c>
      <x:c r="I5" s="19" t="n">
        <x:v>6</x:v>
      </x:c>
      <x:c r="J5" s="19" t="n">
        <x:v>2</x:v>
      </x:c>
      <x:c r="K5" s="19" t="n">
        <x:v>4</x:v>
      </x:c>
      <x:c r="L5" s="19" t="n">
        <x:v>0</x:v>
      </x:c>
      <x:c r="M5" s="24" t="n">
        <x:v>2</x:v>
      </x:c>
      <x:c r="N5" s="19" t="n">
        <x:v>4</x:v>
      </x:c>
      <x:c r="O5" s="19" t="n">
        <x:v>5</x:v>
      </x:c>
      <x:c r="P5" s="19" t="n">
        <x:v>16</x:v>
      </x:c>
      <x:c r="Q5" s="19" t="str">
        <x:v>P01_R1_Manual_NP01-A_COMPLETED_v0.8.0.xlsx</x:v>
      </x:c>
    </x:row>
    <x:row r="6">
      <x:c r="A6" s="21" t="str">
        <x:v>P01</x:v>
      </x:c>
      <x:c r="B6" s="21" t="str">
        <x:v>P01</x:v>
      </x:c>
      <x:c r="C6" s="21" t="n">
        <x:v>2</x:v>
      </x:c>
      <x:c r="D6" s="21" t="str">
        <x:v>Prototype</x:v>
      </x:c>
      <x:c r="E6" s="21" t="str">
        <x:v>NP01-B</x:v>
      </x:c>
      <x:c r="F6" s="21" t="n">
        <x:v>4</x:v>
      </x:c>
      <x:c r="G6" s="21" t="n">
        <x:v>4</x:v>
      </x:c>
      <x:c r="H6" s="21" t="n">
        <x:v>6</x:v>
      </x:c>
      <x:c r="I6" s="21" t="n">
        <x:v>6</x:v>
      </x:c>
      <x:c r="J6" s="21" t="n">
        <x:v>4</x:v>
      </x:c>
      <x:c r="K6" s="21" t="n">
        <x:v>4</x:v>
      </x:c>
      <x:c r="L6" s="21" t="n">
        <x:v>1</x:v>
      </x:c>
      <x:c r="M6" s="21" t="n">
        <x:v>0</x:v>
      </x:c>
      <x:c r="N6" s="21" t="n">
        <x:v>6</x:v>
      </x:c>
      <x:c r="O6" s="21" t="n">
        <x:v>4</x:v>
      </x:c>
      <x:c r="P6" s="21" t="n">
        <x:v>13</x:v>
      </x:c>
      <x:c r="Q6" s="21" t="str">
        <x:v>P01_R2_Evidence_Record_NP01-B-F06_v0.8.0.html</x:v>
      </x:c>
    </x:row>
    <x:row r="7">
      <x:c r="A7" s="19" t="str">
        <x:v>P02</x:v>
      </x:c>
      <x:c r="B7" s="19" t="str">
        <x:v>P02</x:v>
      </x:c>
      <x:c r="C7" s="19" t="n">
        <x:v>1</x:v>
      </x:c>
      <x:c r="D7" s="19" t="str">
        <x:v>Prototype</x:v>
      </x:c>
      <x:c r="E7" s="19" t="str">
        <x:v>NP02-A</x:v>
      </x:c>
      <x:c r="F7" s="19" t="n">
        <x:v>4</x:v>
      </x:c>
      <x:c r="G7" s="19" t="n">
        <x:v>4</x:v>
      </x:c>
      <x:c r="H7" s="19" t="n">
        <x:v>5</x:v>
      </x:c>
      <x:c r="I7" s="19" t="n">
        <x:v>6</x:v>
      </x:c>
      <x:c r="J7" s="19" t="n">
        <x:v>3</x:v>
      </x:c>
      <x:c r="K7" s="19" t="n">
        <x:v>4</x:v>
      </x:c>
      <x:c r="L7" s="19" t="n">
        <x:v>1</x:v>
      </x:c>
      <x:c r="M7" s="38" t="n">
        <x:v>1</x:v>
      </x:c>
      <x:c r="N7" s="19" t="n">
        <x:v>5</x:v>
      </x:c>
      <x:c r="O7" s="19" t="n">
        <x:v>5</x:v>
      </x:c>
      <x:c r="P7" s="19" t="n">
        <x:v>19</x:v>
      </x:c>
      <x:c r="Q7" s="19" t="str">
        <x:v>P02_R1_Evidence_Record_NP02-A-F06_v0.8.0.html</x:v>
      </x:c>
    </x:row>
    <x:row r="8">
      <x:c r="A8" s="21" t="str">
        <x:v>P02</x:v>
      </x:c>
      <x:c r="B8" s="21" t="str">
        <x:v>P02</x:v>
      </x:c>
      <x:c r="C8" s="21" t="n">
        <x:v>2</x:v>
      </x:c>
      <x:c r="D8" s="21" t="str">
        <x:v>Manual</x:v>
      </x:c>
      <x:c r="E8" s="21" t="str">
        <x:v>NP02-B</x:v>
      </x:c>
      <x:c r="F8" s="21" t="n">
        <x:v>4</x:v>
      </x:c>
      <x:c r="G8" s="21" t="n">
        <x:v>4</x:v>
      </x:c>
      <x:c r="H8" s="21" t="n">
        <x:v>6</x:v>
      </x:c>
      <x:c r="I8" s="21" t="n">
        <x:v>6</x:v>
      </x:c>
      <x:c r="J8" s="21" t="n">
        <x:v>4</x:v>
      </x:c>
      <x:c r="K8" s="21" t="n">
        <x:v>4</x:v>
      </x:c>
      <x:c r="L8" s="21" t="n">
        <x:v>1</x:v>
      </x:c>
      <x:c r="M8" s="21" t="n">
        <x:v>0</x:v>
      </x:c>
      <x:c r="N8" s="21" t="n">
        <x:v>4</x:v>
      </x:c>
      <x:c r="O8" s="21" t="n">
        <x:v>6</x:v>
      </x:c>
      <x:c r="P8" s="21" t="n">
        <x:v>24</x:v>
      </x:c>
      <x:c r="Q8" s="21" t="str">
        <x:v>P02_R2_Manual_NP02-B_COMPLETED_v0.8.0.xlsx</x:v>
      </x:c>
    </x:row>
    <x:row r="9">
      <x:c r="A9" s="19" t="str">
        <x:v>P03</x:v>
      </x:c>
      <x:c r="B9" s="19" t="str">
        <x:v>P03</x:v>
      </x:c>
      <x:c r="C9" s="19" t="n">
        <x:v>1</x:v>
      </x:c>
      <x:c r="D9" s="19" t="str">
        <x:v>Manual</x:v>
      </x:c>
      <x:c r="E9" s="19" t="str">
        <x:v>NP03-B</x:v>
      </x:c>
      <x:c r="F9" s="19" t="n">
        <x:v>4</x:v>
      </x:c>
      <x:c r="G9" s="19" t="n">
        <x:v>4</x:v>
      </x:c>
      <x:c r="H9" s="19" t="n">
        <x:v>6</x:v>
      </x:c>
      <x:c r="I9" s="19" t="n">
        <x:v>6</x:v>
      </x:c>
      <x:c r="J9" s="19" t="n">
        <x:v>4</x:v>
      </x:c>
      <x:c r="K9" s="19" t="n">
        <x:v>4</x:v>
      </x:c>
      <x:c r="L9" s="19" t="n">
        <x:v>1</x:v>
      </x:c>
      <x:c r="M9" s="19" t="n">
        <x:v>0</x:v>
      </x:c>
      <x:c r="N9" s="19" t="n">
        <x:v>5</x:v>
      </x:c>
      <x:c r="O9" s="19" t="n">
        <x:v>6</x:v>
      </x:c>
      <x:c r="P9" s="19" t="n">
        <x:v>21</x:v>
      </x:c>
      <x:c r="Q9" s="19" t="str">
        <x:v>P03_R1_Manual_NP03-B_COMPLETED_v0.8.0.xlsx</x:v>
      </x:c>
    </x:row>
    <x:row r="10">
      <x:c r="A10" s="22" t="str">
        <x:v>P03</x:v>
      </x:c>
      <x:c r="B10" s="22" t="str">
        <x:v>P03</x:v>
      </x:c>
      <x:c r="C10" s="22" t="n">
        <x:v>2</x:v>
      </x:c>
      <x:c r="D10" s="22" t="str">
        <x:v>Prototype</x:v>
      </x:c>
      <x:c r="E10" s="22" t="str">
        <x:v>NP03-A</x:v>
      </x:c>
      <x:c r="F10" s="22" t="n">
        <x:v>4</x:v>
      </x:c>
      <x:c r="G10" s="22" t="n">
        <x:v>4</x:v>
      </x:c>
      <x:c r="H10" s="22" t="n">
        <x:v>6</x:v>
      </x:c>
      <x:c r="I10" s="22" t="n">
        <x:v>6</x:v>
      </x:c>
      <x:c r="J10" s="22" t="n">
        <x:v>4</x:v>
      </x:c>
      <x:c r="K10" s="22" t="n">
        <x:v>4</x:v>
      </x:c>
      <x:c r="L10" s="22" t="n">
        <x:v>1</x:v>
      </x:c>
      <x:c r="M10" s="22" t="n">
        <x:v>0</x:v>
      </x:c>
      <x:c r="N10" s="22" t="n">
        <x:v>5</x:v>
      </x:c>
      <x:c r="O10" s="22" t="n">
        <x:v>5</x:v>
      </x:c>
      <x:c r="P10" s="22" t="n">
        <x:v>20</x:v>
      </x:c>
      <x:c r="Q10" s="22" t="str">
        <x:v>P03_R2_Evidence_Record_NP03-A-F06_v0.8.0.html</x:v>
      </x:c>
    </x:row>
  </x:sheetData>
  <x:mergeCells>
    <x:mergeCell ref="A1:Q1"/>
    <x:mergeCell ref="A2:Q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3" hidden="0" customWidth="1"/>
    <x:col min="4" max="4" width="13" hidden="0" customWidth="1"/>
    <x:col min="5" max="5" width="13" hidden="0" customWidth="1"/>
    <x:col min="6" max="6" width="24" hidden="0" customWidth="1"/>
    <x:col min="7" max="7" width="24" hidden="0" customWidth="1"/>
    <x:col min="8" max="8" width="28" hidden="0" customWidth="1"/>
    <x:col min="9" max="9" width="28" hidden="0" customWidth="1"/>
    <x:col min="10" max="10" width="28" hidden="0" customWidth="1"/>
    <x:col min="11" max="11" width="28" hidden="0" customWidth="1"/>
    <x:col min="12" max="12" width="9" hidden="0" customWidth="1"/>
    <x:col min="13" max="13" width="34" hidden="0" customWidth="1"/>
    <x:col min="14" max="14" width="48" hidden="0" customWidth="1"/>
    <x:col min="15" max="15" width="10" hidden="0" customWidth="1"/>
    <x:col min="16" max="16" width="10" hidden="0" customWidth="1"/>
    <x:col min="17" max="17" width="45" hidden="0" customWidth="1"/>
  </x:cols>
  <x:sheetData>
    <x:row r="1" ht="30" customHeight="1">
      <x:c r="A1" s="3" t="str">
        <x:v>Gold客观计分 / Gold-based Objective Scoring</x:v>
      </x:c>
      <x:c r="B1" s="3"/>
      <x:c r="C1" s="3"/>
      <x:c r="D1" s="3"/>
      <x:c r="E1" s="3"/>
      <x:c r="F1" s="3"/>
      <x:c r="G1" s="3"/>
      <x:c r="H1" s="3"/>
      <x:c r="I1" s="3"/>
      <x:c r="J1" s="3"/>
      <x:c r="K1" s="3"/>
      <x:c r="L1" s="3"/>
      <x:c r="M1" s="3"/>
      <x:c r="N1" s="3"/>
      <x:c r="O1" s="3"/>
      <x:c r="P1" s="3"/>
      <x:c r="Q1" s="3"/>
    </x:row>
    <x:row r="2" ht="34" customHeight="1">
      <x:c r="A2" s="7" t="str">
        <x:v>60行逐项记录：24 Topic + 36 Evidence item。Score=1表示最终判断符合v0.8.0 Gold或明确允许的替代处理。</x:v>
      </x:c>
      <x:c r="B2" s="7"/>
      <x:c r="C2" s="7"/>
      <x:c r="D2" s="7"/>
      <x:c r="E2" s="7"/>
      <x:c r="F2" s="7"/>
      <x:c r="G2" s="7"/>
      <x:c r="H2" s="7"/>
      <x:c r="I2" s="7"/>
      <x:c r="J2" s="7"/>
      <x:c r="K2" s="7"/>
      <x:c r="L2" s="7"/>
      <x:c r="M2" s="7"/>
      <x:c r="N2" s="7"/>
      <x:c r="O2" s="7"/>
      <x:c r="P2" s="7"/>
      <x:c r="Q2" s="7"/>
    </x:row>
    <x:row r="4" ht="30" customHeight="1">
      <x:c r="A4" s="14" t="str">
        <x:v>Participant</x:v>
      </x:c>
      <x:c r="B4" s="14" t="str">
        <x:v>Name</x:v>
      </x:c>
      <x:c r="C4" s="14" t="str">
        <x:v>Condition</x:v>
      </x:c>
      <x:c r="D4" s="14" t="str">
        <x:v>Case</x:v>
      </x:c>
      <x:c r="E4" s="14" t="str">
        <x:v>Type</x:v>
      </x:c>
      <x:c r="F4" s="14" t="str">
        <x:v>Element ID</x:v>
      </x:c>
      <x:c r="G4" s="14" t="str">
        <x:v>Topic code</x:v>
      </x:c>
      <x:c r="H4" s="14" t="str">
        <x:v>Actual decision</x:v>
      </x:c>
      <x:c r="I4" s="14" t="str">
        <x:v>Actual missing</x:v>
      </x:c>
      <x:c r="J4" s="14" t="str">
        <x:v>Gold expected</x:v>
      </x:c>
      <x:c r="K4" s="14" t="str">
        <x:v>Gold missing</x:v>
      </x:c>
      <x:c r="L4" s="14" t="str">
        <x:v>Score</x:v>
      </x:c>
      <x:c r="M4" s="14" t="str">
        <x:v>Error class</x:v>
      </x:c>
      <x:c r="N4" s="14" t="str">
        <x:v>Rationale</x:v>
      </x:c>
      <x:c r="O4" s="14" t="str">
        <x:v>Round</x:v>
      </x:c>
      <x:c r="P4" s="14" t="str">
        <x:v>Protocol</x:v>
      </x:c>
      <x:c r="Q4" s="14" t="str">
        <x:v>Source file</x:v>
      </x:c>
    </x:row>
    <x:row r="5">
      <x:c r="A5" s="19" t="str">
        <x:v>P01</x:v>
      </x:c>
      <x:c r="B5" s="19" t="str">
        <x:v>P01</x:v>
      </x:c>
      <x:c r="C5" s="19" t="str">
        <x:v>Manual</x:v>
      </x:c>
      <x:c r="D5" s="19" t="str">
        <x:v>NP01-A</x:v>
      </x:c>
      <x:c r="E5" s="19" t="str">
        <x:v>Item</x:v>
      </x:c>
      <x:c r="F5" s="19" t="str">
        <x:v>NP01-A-E1</x:v>
      </x:c>
      <x:c r="G5" s="19" t="str">
        <x:v>meeting_context</x:v>
      </x:c>
      <x:c r="H5" s="19" t="str">
        <x:v>Include</x:v>
      </x:c>
      <x:c r="I5" s="19" t="str"/>
      <x:c r="J5" s="19" t="str">
        <x:v>Include</x:v>
      </x:c>
      <x:c r="K5" s="19" t="str"/>
      <x:c r="L5" s="26" t="n">
        <x:v>1</x:v>
      </x:c>
      <x:c r="M5" s="19" t="str"/>
      <x:c r="N5" s="19" t="str">
        <x:v>A-M02 directly supports the participant's location, role and the weekly hybrid planning format.</x:v>
      </x:c>
      <x:c r="O5" s="19" t="n">
        <x:v>1</x:v>
      </x:c>
      <x:c r="P5" s="19" t="str">
        <x:v>NP01</x:v>
      </x:c>
      <x:c r="Q5" s="19" t="str">
        <x:v>P01_R1_Manual_NP01-A_COMPLETED_v0.8.0.xlsx</x:v>
      </x:c>
    </x:row>
    <x:row r="6">
      <x:c r="A6" s="21" t="str">
        <x:v>P01</x:v>
      </x:c>
      <x:c r="B6" s="21" t="str">
        <x:v>P01</x:v>
      </x:c>
      <x:c r="C6" s="21" t="str">
        <x:v>Manual</x:v>
      </x:c>
      <x:c r="D6" s="21" t="str">
        <x:v>NP01-A</x:v>
      </x:c>
      <x:c r="E6" s="21" t="str">
        <x:v>Item</x:v>
      </x:c>
      <x:c r="F6" s="21" t="str">
        <x:v>NP01-A-E2</x:v>
      </x:c>
      <x:c r="G6" s="21" t="str">
        <x:v>participation_experience</x:v>
      </x:c>
      <x:c r="H6" s="21" t="str">
        <x:v>Include</x:v>
      </x:c>
      <x:c r="I6" s="21" t="str"/>
      <x:c r="J6" s="21" t="str">
        <x:v>Include</x:v>
      </x:c>
      <x:c r="K6" s="21" t="str"/>
      <x:c r="L6" s="26" t="n">
        <x:v>1</x:v>
      </x:c>
      <x:c r="M6" s="21" t="str"/>
      <x:c r="N6" s="21" t="str">
        <x:v>A-M04 describes the room-side discussion and lack of attention to chat; A-M06 gives the resulting missed decision and delayed contribution.</x:v>
      </x:c>
      <x:c r="O6" s="21" t="n">
        <x:v>1</x:v>
      </x:c>
      <x:c r="P6" s="21" t="str">
        <x:v>NP01</x:v>
      </x:c>
      <x:c r="Q6" s="21" t="str">
        <x:v>P01_R1_Manual_NP01-A_COMPLETED_v0.8.0.xlsx</x:v>
      </x:c>
    </x:row>
    <x:row r="7">
      <x:c r="A7" s="19" t="str">
        <x:v>P01</x:v>
      </x:c>
      <x:c r="B7" s="19" t="str">
        <x:v>P01</x:v>
      </x:c>
      <x:c r="C7" s="19" t="str">
        <x:v>Manual</x:v>
      </x:c>
      <x:c r="D7" s="19" t="str">
        <x:v>NP01-A</x:v>
      </x:c>
      <x:c r="E7" s="19" t="str">
        <x:v>Item</x:v>
      </x:c>
      <x:c r="F7" s="19" t="str">
        <x:v>NP01-A-E3</x:v>
      </x:c>
      <x:c r="G7" s="19" t="str">
        <x:v>breakdown_response</x:v>
      </x:c>
      <x:c r="H7" s="19" t="str">
        <x:v>Include</x:v>
      </x:c>
      <x:c r="I7" s="19" t="str"/>
      <x:c r="J7" s="19" t="str">
        <x:v>Edit</x:v>
      </x:c>
      <x:c r="K7" s="19" t="str"/>
      <x:c r="L7" s="24" t="n">
        <x:v>0</x:v>
      </x:c>
      <x:c r="M7" s="19" t="str">
        <x:v>False approval: overstatement</x:v>
      </x:c>
      <x:c r="N7" s="19" t="str">
        <x:v>A-M08 records the frozen slides, and A-M10 shows that the participant used chat and the phone to restore access and stay in the meeting.</x:v>
      </x:c>
      <x:c r="O7" s="19" t="n">
        <x:v>1</x:v>
      </x:c>
      <x:c r="P7" s="19" t="str">
        <x:v>NP01</x:v>
      </x:c>
      <x:c r="Q7" s="19" t="str">
        <x:v>P01_R1_Manual_NP01-A_COMPLETED_v0.8.0.xlsx</x:v>
      </x:c>
    </x:row>
    <x:row r="8">
      <x:c r="A8" s="21" t="str">
        <x:v>P01</x:v>
      </x:c>
      <x:c r="B8" s="21" t="str">
        <x:v>P01</x:v>
      </x:c>
      <x:c r="C8" s="21" t="str">
        <x:v>Manual</x:v>
      </x:c>
      <x:c r="D8" s="21" t="str">
        <x:v>NP01-A</x:v>
      </x:c>
      <x:c r="E8" s="21" t="str">
        <x:v>Item</x:v>
      </x:c>
      <x:c r="F8" s="21" t="str">
        <x:v>NP01-A-E4</x:v>
      </x:c>
      <x:c r="G8" s="21" t="str">
        <x:v>breakdown_response</x:v>
      </x:c>
      <x:c r="H8" s="21" t="str">
        <x:v>Exclude</x:v>
      </x:c>
      <x:c r="I8" s="21" t="str"/>
      <x:c r="J8" s="21" t="str">
        <x:v>Exclude</x:v>
      </x:c>
      <x:c r="K8" s="21" t="str"/>
      <x:c r="L8" s="26" t="n">
        <x:v>1</x:v>
      </x:c>
      <x:c r="M8" s="21" t="str"/>
      <x:c r="N8" s="21" t="str">
        <x:v>Neither A-M08 nor the rest of the transcript says that the facilitator paused the meeting; the room continued through the slides.</x:v>
      </x:c>
      <x:c r="O8" s="21" t="n">
        <x:v>1</x:v>
      </x:c>
      <x:c r="P8" s="21" t="str">
        <x:v>NP01</x:v>
      </x:c>
      <x:c r="Q8" s="21" t="str">
        <x:v>P01_R1_Manual_NP01-A_COMPLETED_v0.8.0.xlsx</x:v>
      </x:c>
    </x:row>
    <x:row r="9">
      <x:c r="A9" s="19" t="str">
        <x:v>P01</x:v>
      </x:c>
      <x:c r="B9" s="19" t="str">
        <x:v>P01</x:v>
      </x:c>
      <x:c r="C9" s="19" t="str">
        <x:v>Manual</x:v>
      </x:c>
      <x:c r="D9" s="19" t="str">
        <x:v>NP01-A</x:v>
      </x:c>
      <x:c r="E9" s="19" t="str">
        <x:v>Item</x:v>
      </x:c>
      <x:c r="F9" s="19" t="str">
        <x:v>NP01-A-E5</x:v>
      </x:c>
      <x:c r="G9" s="19" t="str">
        <x:v>participation_experience</x:v>
      </x:c>
      <x:c r="H9" s="19" t="str">
        <x:v>Edit source</x:v>
      </x:c>
      <x:c r="I9" s="19" t="str"/>
      <x:c r="J9" s="19" t="str">
        <x:v>Edit source</x:v>
      </x:c>
      <x:c r="K9" s="19" t="str"/>
      <x:c r="L9" s="26" t="n">
        <x:v>1</x:v>
      </x:c>
      <x:c r="M9" s="19" t="str"/>
      <x:c r="N9" s="19" t="str">
        <x:v>The statement is supported by A-M06, not A-M02: A-M06 records both the missed decision and the direct invitation before contributing.</x:v>
      </x:c>
      <x:c r="O9" s="19" t="n">
        <x:v>1</x:v>
      </x:c>
      <x:c r="P9" s="19" t="str">
        <x:v>NP01</x:v>
      </x:c>
      <x:c r="Q9" s="19" t="str">
        <x:v>P01_R1_Manual_NP01-A_COMPLETED_v0.8.0.xlsx</x:v>
      </x:c>
    </x:row>
    <x:row r="10">
      <x:c r="A10" s="21" t="str">
        <x:v>P01</x:v>
      </x:c>
      <x:c r="B10" s="21" t="str">
        <x:v>P01</x:v>
      </x:c>
      <x:c r="C10" s="21" t="str">
        <x:v>Manual</x:v>
      </x:c>
      <x:c r="D10" s="21" t="str">
        <x:v>NP01-A</x:v>
      </x:c>
      <x:c r="E10" s="21" t="str">
        <x:v>Item</x:v>
      </x:c>
      <x:c r="F10" s="21" t="str">
        <x:v>NP01-A-E6</x:v>
      </x:c>
      <x:c r="G10" s="21" t="str">
        <x:v>improvement_priority</x:v>
      </x:c>
      <x:c r="H10" s="21" t="str">
        <x:v>Include</x:v>
      </x:c>
      <x:c r="I10" s="21" t="str"/>
      <x:c r="J10" s="21" t="str">
        <x:v>Edit and flag partial</x:v>
      </x:c>
      <x:c r="K10" s="21" t="str">
        <x:v>Expected-effect gap</x:v>
      </x:c>
      <x:c r="L10" s="24" t="n">
        <x:v>0</x:v>
      </x:c>
      <x:c r="M10" s="21" t="str">
        <x:v>False approval + missed missingness</x:v>
      </x:c>
      <x:c r="N10" s="21" t="str">
        <x:v>A-M12 proposes the turn-taking rule and A-M14 relates testing it to improved participation, so the statement reflects the intended outcome.</x:v>
      </x:c>
      <x:c r="O10" s="21" t="n">
        <x:v>1</x:v>
      </x:c>
      <x:c r="P10" s="21" t="str">
        <x:v>NP01</x:v>
      </x:c>
      <x:c r="Q10" s="21" t="str">
        <x:v>P01_R1_Manual_NP01-A_COMPLETED_v0.8.0.xlsx</x:v>
      </x:c>
    </x:row>
    <x:row r="11">
      <x:c r="A11" s="19" t="str">
        <x:v>P01</x:v>
      </x:c>
      <x:c r="B11" s="19" t="str">
        <x:v>P01</x:v>
      </x:c>
      <x:c r="C11" s="19" t="str">
        <x:v>Manual</x:v>
      </x:c>
      <x:c r="D11" s="19" t="str">
        <x:v>NP01-A</x:v>
      </x:c>
      <x:c r="E11" s="19" t="str">
        <x:v>Topic</x:v>
      </x:c>
      <x:c r="F11" s="19" t="str">
        <x:v>NP01-A:breakdown_response</x:v>
      </x:c>
      <x:c r="G11" s="19" t="str">
        <x:v>breakdown_response</x:v>
      </x:c>
      <x:c r="H11" s="19" t="str">
        <x:v>fully_answered</x:v>
      </x:c>
      <x:c r="I11" s="19" t="str"/>
      <x:c r="J11" s="19" t="str">
        <x:v>fully_answered</x:v>
      </x:c>
      <x:c r="K11" s="19" t="str"/>
      <x:c r="L11" s="26" t="n">
        <x:v>1</x:v>
      </x:c>
      <x:c r="M11" s="19" t="str"/>
      <x:c r="N11" s="19" t="str">
        <x:v>A-M08 records the frozen slides, while A-M10 gives the chat message and phone dial-in used to remain involved in the meeting.</x:v>
      </x:c>
      <x:c r="O11" s="19" t="n">
        <x:v>1</x:v>
      </x:c>
      <x:c r="P11" s="19" t="str">
        <x:v>NP01</x:v>
      </x:c>
      <x:c r="Q11" s="19" t="str">
        <x:v>P01_R1_Manual_NP01-A_COMPLETED_v0.8.0.xlsx</x:v>
      </x:c>
    </x:row>
    <x:row r="12">
      <x:c r="A12" s="21" t="str">
        <x:v>P01</x:v>
      </x:c>
      <x:c r="B12" s="21" t="str">
        <x:v>P01</x:v>
      </x:c>
      <x:c r="C12" s="21" t="str">
        <x:v>Manual</x:v>
      </x:c>
      <x:c r="D12" s="21" t="str">
        <x:v>NP01-A</x:v>
      </x:c>
      <x:c r="E12" s="21" t="str">
        <x:v>Topic</x:v>
      </x:c>
      <x:c r="F12" s="21" t="str">
        <x:v>NP01-A:improvement_priority</x:v>
      </x:c>
      <x:c r="G12" s="21" t="str">
        <x:v>improvement_priority</x:v>
      </x:c>
      <x:c r="H12" s="21" t="str">
        <x:v>fully_answered</x:v>
      </x:c>
      <x:c r="I12" s="21" t="str"/>
      <x:c r="J12" s="21" t="str">
        <x:v>partially_answered</x:v>
      </x:c>
      <x:c r="K12" s="21" t="str">
        <x:v>expected benefit or prevented problem</x:v>
      </x:c>
      <x:c r="L12" s="24" t="n">
        <x:v>0</x:v>
      </x:c>
      <x:c r="M12" s="21" t="str">
        <x:v>Missed missingness / false sufficient</x:v>
      </x:c>
      <x:c r="N12" s="21" t="str">
        <x:v>A-M12 proposes clearer turn-taking and A-M14 links testing that rule to whether it improves participation, which gives the intended benefit and its qualification.</x:v>
      </x:c>
      <x:c r="O12" s="21" t="n">
        <x:v>1</x:v>
      </x:c>
      <x:c r="P12" s="21" t="str">
        <x:v>NP01</x:v>
      </x:c>
      <x:c r="Q12" s="21" t="str">
        <x:v>P01_R1_Manual_NP01-A_COMPLETED_v0.8.0.xlsx</x:v>
      </x:c>
    </x:row>
    <x:row r="13">
      <x:c r="A13" s="19" t="str">
        <x:v>P01</x:v>
      </x:c>
      <x:c r="B13" s="19" t="str">
        <x:v>P01</x:v>
      </x:c>
      <x:c r="C13" s="19" t="str">
        <x:v>Manual</x:v>
      </x:c>
      <x:c r="D13" s="19" t="str">
        <x:v>NP01-A</x:v>
      </x:c>
      <x:c r="E13" s="19" t="str">
        <x:v>Topic</x:v>
      </x:c>
      <x:c r="F13" s="19" t="str">
        <x:v>NP01-A:meeting_context</x:v>
      </x:c>
      <x:c r="G13" s="19" t="str">
        <x:v>meeting_context</x:v>
      </x:c>
      <x:c r="H13" s="19" t="str">
        <x:v>fully_answered</x:v>
      </x:c>
      <x:c r="I13" s="19" t="str"/>
      <x:c r="J13" s="19" t="str">
        <x:v>fully_answered</x:v>
      </x:c>
      <x:c r="K13" s="19" t="str"/>
      <x:c r="L13" s="26" t="n">
        <x:v>1</x:v>
      </x:c>
      <x:c r="M13" s="19" t="str"/>
      <x:c r="N13" s="19" t="str">
        <x:v>A-M02 states the participant's remote role and location and identifies the weekly hybrid planning meeting and its room/online format.</x:v>
      </x:c>
      <x:c r="O13" s="19" t="n">
        <x:v>1</x:v>
      </x:c>
      <x:c r="P13" s="19" t="str">
        <x:v>NP01</x:v>
      </x:c>
      <x:c r="Q13" s="19" t="str">
        <x:v>P01_R1_Manual_NP01-A_COMPLETED_v0.8.0.xlsx</x:v>
      </x:c>
    </x:row>
    <x:row r="14">
      <x:c r="A14" s="21" t="str">
        <x:v>P01</x:v>
      </x:c>
      <x:c r="B14" s="21" t="str">
        <x:v>P01</x:v>
      </x:c>
      <x:c r="C14" s="21" t="str">
        <x:v>Manual</x:v>
      </x:c>
      <x:c r="D14" s="21" t="str">
        <x:v>NP01-A</x:v>
      </x:c>
      <x:c r="E14" s="21" t="str">
        <x:v>Topic</x:v>
      </x:c>
      <x:c r="F14" s="21" t="str">
        <x:v>NP01-A:participation_experience</x:v>
      </x:c>
      <x:c r="G14" s="21" t="str">
        <x:v>participation_experience</x:v>
      </x:c>
      <x:c r="H14" s="21" t="str">
        <x:v>fully_answered</x:v>
      </x:c>
      <x:c r="I14" s="21" t="str"/>
      <x:c r="J14" s="21" t="str">
        <x:v>fully_answered</x:v>
      </x:c>
      <x:c r="K14" s="21" t="str"/>
      <x:c r="L14" s="26" t="n">
        <x:v>1</x:v>
      </x:c>
      <x:c r="M14" s="21" t="str"/>
      <x:c r="N14" s="21" t="str">
        <x:v>A-M04 identifies the room-side discussion and missed chat as the barrier; A-M06 describes the missed decision and delayed contribution.</x:v>
      </x:c>
      <x:c r="O14" s="21" t="n">
        <x:v>1</x:v>
      </x:c>
      <x:c r="P14" s="21" t="str">
        <x:v>NP01</x:v>
      </x:c>
      <x:c r="Q14" s="21" t="str">
        <x:v>P01_R1_Manual_NP01-A_COMPLETED_v0.8.0.xlsx</x:v>
      </x:c>
    </x:row>
    <x:row r="15">
      <x:c r="A15" s="19" t="str">
        <x:v>P01</x:v>
      </x:c>
      <x:c r="B15" s="19" t="str">
        <x:v>P01</x:v>
      </x:c>
      <x:c r="C15" s="19" t="str">
        <x:v>Prototype</x:v>
      </x:c>
      <x:c r="D15" s="19" t="str">
        <x:v>NP01-B</x:v>
      </x:c>
      <x:c r="E15" s="19" t="str">
        <x:v>Item</x:v>
      </x:c>
      <x:c r="F15" s="19" t="str">
        <x:v>NP01-B-E1</x:v>
      </x:c>
      <x:c r="G15" s="19" t="str">
        <x:v>meeting_context</x:v>
      </x:c>
      <x:c r="H15" s="19" t="str">
        <x:v>Include</x:v>
      </x:c>
      <x:c r="I15" s="19" t="str"/>
      <x:c r="J15" s="19" t="str">
        <x:v>Include</x:v>
      </x:c>
      <x:c r="K15" s="19" t="str"/>
      <x:c r="L15" s="26" t="n">
        <x:v>1</x:v>
      </x:c>
      <x:c r="M15" s="19" t="str"/>
      <x:c r="N15" s="19" t="str">
        <x:v>Final reviewed HTML record</x:v>
      </x:c>
      <x:c r="O15" s="19" t="n">
        <x:v>2</x:v>
      </x:c>
      <x:c r="P15" s="19" t="str">
        <x:v>NP01</x:v>
      </x:c>
      <x:c r="Q15" s="19" t="str">
        <x:v>P01_R2_Evidence_Record_NP01-B-F06_v0.8.0.html</x:v>
      </x:c>
    </x:row>
    <x:row r="16">
      <x:c r="A16" s="21" t="str">
        <x:v>P01</x:v>
      </x:c>
      <x:c r="B16" s="21" t="str">
        <x:v>P01</x:v>
      </x:c>
      <x:c r="C16" s="21" t="str">
        <x:v>Prototype</x:v>
      </x:c>
      <x:c r="D16" s="21" t="str">
        <x:v>NP01-B</x:v>
      </x:c>
      <x:c r="E16" s="21" t="str">
        <x:v>Item</x:v>
      </x:c>
      <x:c r="F16" s="21" t="str">
        <x:v>NP01-B-E2</x:v>
      </x:c>
      <x:c r="G16" s="21" t="str">
        <x:v>participation_experience</x:v>
      </x:c>
      <x:c r="H16" s="21" t="str">
        <x:v>Include</x:v>
      </x:c>
      <x:c r="I16" s="21" t="str"/>
      <x:c r="J16" s="21" t="str">
        <x:v>Include</x:v>
      </x:c>
      <x:c r="K16" s="21" t="str"/>
      <x:c r="L16" s="26" t="n">
        <x:v>1</x:v>
      </x:c>
      <x:c r="M16" s="21" t="str"/>
      <x:c r="N16" s="21" t="str">
        <x:v>Final reviewed HTML record</x:v>
      </x:c>
      <x:c r="O16" s="21" t="n">
        <x:v>2</x:v>
      </x:c>
      <x:c r="P16" s="21" t="str">
        <x:v>NP01</x:v>
      </x:c>
      <x:c r="Q16" s="21" t="str">
        <x:v>P01_R2_Evidence_Record_NP01-B-F06_v0.8.0.html</x:v>
      </x:c>
    </x:row>
    <x:row r="17">
      <x:c r="A17" s="19" t="str">
        <x:v>P01</x:v>
      </x:c>
      <x:c r="B17" s="19" t="str">
        <x:v>P01</x:v>
      </x:c>
      <x:c r="C17" s="19" t="str">
        <x:v>Prototype</x:v>
      </x:c>
      <x:c r="D17" s="19" t="str">
        <x:v>NP01-B</x:v>
      </x:c>
      <x:c r="E17" s="19" t="str">
        <x:v>Item</x:v>
      </x:c>
      <x:c r="F17" s="19" t="str">
        <x:v>NP01-B-E3</x:v>
      </x:c>
      <x:c r="G17" s="19" t="str">
        <x:v>breakdown_response</x:v>
      </x:c>
      <x:c r="H17" s="19" t="str">
        <x:v>Edit</x:v>
      </x:c>
      <x:c r="I17" s="19" t="str"/>
      <x:c r="J17" s="19" t="str">
        <x:v>Edit</x:v>
      </x:c>
      <x:c r="K17" s="19" t="str"/>
      <x:c r="L17" s="26" t="n">
        <x:v>1</x:v>
      </x:c>
      <x:c r="M17" s="19" t="str"/>
      <x:c r="N17" s="19" t="str">
        <x:v>Final reviewed HTML record</x:v>
      </x:c>
      <x:c r="O17" s="19" t="n">
        <x:v>2</x:v>
      </x:c>
      <x:c r="P17" s="19" t="str">
        <x:v>NP01</x:v>
      </x:c>
      <x:c r="Q17" s="19" t="str">
        <x:v>P01_R2_Evidence_Record_NP01-B-F06_v0.8.0.html</x:v>
      </x:c>
    </x:row>
    <x:row r="18">
      <x:c r="A18" s="21" t="str">
        <x:v>P01</x:v>
      </x:c>
      <x:c r="B18" s="21" t="str">
        <x:v>P01</x:v>
      </x:c>
      <x:c r="C18" s="21" t="str">
        <x:v>Prototype</x:v>
      </x:c>
      <x:c r="D18" s="21" t="str">
        <x:v>NP01-B</x:v>
      </x:c>
      <x:c r="E18" s="21" t="str">
        <x:v>Item</x:v>
      </x:c>
      <x:c r="F18" s="21" t="str">
        <x:v>NP01-B-E4</x:v>
      </x:c>
      <x:c r="G18" s="21" t="str">
        <x:v>breakdown_response</x:v>
      </x:c>
      <x:c r="H18" s="21" t="str">
        <x:v>Exclude</x:v>
      </x:c>
      <x:c r="I18" s="21" t="str"/>
      <x:c r="J18" s="21" t="str">
        <x:v>Exclude</x:v>
      </x:c>
      <x:c r="K18" s="21" t="str"/>
      <x:c r="L18" s="26" t="n">
        <x:v>1</x:v>
      </x:c>
      <x:c r="M18" s="21" t="str"/>
      <x:c r="N18" s="21" t="str">
        <x:v>The transcript does not say that the remote attendee left the meeting.</x:v>
      </x:c>
      <x:c r="O18" s="21" t="n">
        <x:v>2</x:v>
      </x:c>
      <x:c r="P18" s="21" t="str">
        <x:v>NP01</x:v>
      </x:c>
      <x:c r="Q18" s="21" t="str">
        <x:v>P01_R2_Evidence_Record_NP01-B-F06_v0.8.0.html</x:v>
      </x:c>
    </x:row>
    <x:row r="19">
      <x:c r="A19" s="19" t="str">
        <x:v>P01</x:v>
      </x:c>
      <x:c r="B19" s="19" t="str">
        <x:v>P01</x:v>
      </x:c>
      <x:c r="C19" s="19" t="str">
        <x:v>Prototype</x:v>
      </x:c>
      <x:c r="D19" s="19" t="str">
        <x:v>NP01-B</x:v>
      </x:c>
      <x:c r="E19" s="19" t="str">
        <x:v>Item</x:v>
      </x:c>
      <x:c r="F19" s="19" t="str">
        <x:v>NP01-B-E5</x:v>
      </x:c>
      <x:c r="G19" s="19" t="str">
        <x:v>participation_experience</x:v>
      </x:c>
      <x:c r="H19" s="19" t="str">
        <x:v>Edit source</x:v>
      </x:c>
      <x:c r="I19" s="19" t="str"/>
      <x:c r="J19" s="19" t="str">
        <x:v>Edit source</x:v>
      </x:c>
      <x:c r="K19" s="19" t="str"/>
      <x:c r="L19" s="26" t="n">
        <x:v>1</x:v>
      </x:c>
      <x:c r="M19" s="19" t="str"/>
      <x:c r="N19" s="19" t="str">
        <x:v>Final reviewed HTML record</x:v>
      </x:c>
      <x:c r="O19" s="19" t="n">
        <x:v>2</x:v>
      </x:c>
      <x:c r="P19" s="19" t="str">
        <x:v>NP01</x:v>
      </x:c>
      <x:c r="Q19" s="19" t="str">
        <x:v>P01_R2_Evidence_Record_NP01-B-F06_v0.8.0.html</x:v>
      </x:c>
    </x:row>
    <x:row r="20">
      <x:c r="A20" s="21" t="str">
        <x:v>P01</x:v>
      </x:c>
      <x:c r="B20" s="21" t="str">
        <x:v>P01</x:v>
      </x:c>
      <x:c r="C20" s="21" t="str">
        <x:v>Prototype</x:v>
      </x:c>
      <x:c r="D20" s="21" t="str">
        <x:v>NP01-B</x:v>
      </x:c>
      <x:c r="E20" s="21" t="str">
        <x:v>Item</x:v>
      </x:c>
      <x:c r="F20" s="21" t="str">
        <x:v>NP01-B-E6</x:v>
      </x:c>
      <x:c r="G20" s="21" t="str">
        <x:v>improvement_priority</x:v>
      </x:c>
      <x:c r="H20" s="21" t="str">
        <x:v>Edit and flag partial</x:v>
      </x:c>
      <x:c r="I20" s="21" t="str">
        <x:v>Improvement priority has missing Protocol information: expected benefit or prevented problem.</x:v>
      </x:c>
      <x:c r="J20" s="21" t="str">
        <x:v>Edit and flag partial</x:v>
      </x:c>
      <x:c r="K20" s="21" t="str">
        <x:v>Expected-effect gap</x:v>
      </x:c>
      <x:c r="L20" s="26" t="n">
        <x:v>1</x:v>
      </x:c>
      <x:c r="M20" s="21" t="str"/>
      <x:c r="N20" s="21" t="str">
        <x:v>Final reviewed HTML record</x:v>
      </x:c>
      <x:c r="O20" s="21" t="n">
        <x:v>2</x:v>
      </x:c>
      <x:c r="P20" s="21" t="str">
        <x:v>NP01</x:v>
      </x:c>
      <x:c r="Q20" s="21" t="str">
        <x:v>P01_R2_Evidence_Record_NP01-B-F06_v0.8.0.html</x:v>
      </x:c>
    </x:row>
    <x:row r="21">
      <x:c r="A21" s="19" t="str">
        <x:v>P01</x:v>
      </x:c>
      <x:c r="B21" s="19" t="str">
        <x:v>P01</x:v>
      </x:c>
      <x:c r="C21" s="19" t="str">
        <x:v>Prototype</x:v>
      </x:c>
      <x:c r="D21" s="19" t="str">
        <x:v>NP01-B</x:v>
      </x:c>
      <x:c r="E21" s="19" t="str">
        <x:v>Topic</x:v>
      </x:c>
      <x:c r="F21" s="19" t="str">
        <x:v>NP01-B:breakdown_response</x:v>
      </x:c>
      <x:c r="G21" s="19" t="str">
        <x:v>breakdown_response</x:v>
      </x:c>
      <x:c r="H21" s="19" t="str">
        <x:v>fully_answered</x:v>
      </x:c>
      <x:c r="I21" s="19" t="str"/>
      <x:c r="J21" s="19" t="str">
        <x:v>fully_answered</x:v>
      </x:c>
      <x:c r="K21" s="19" t="str"/>
      <x:c r="L21" s="26" t="n">
        <x:v>1</x:v>
      </x:c>
      <x:c r="M21" s="19" t="str"/>
      <x:c r="N21" s="19" t="str">
        <x:v>Coverage shown in final reviewed HTML record</x:v>
      </x:c>
      <x:c r="O21" s="19" t="n">
        <x:v>2</x:v>
      </x:c>
      <x:c r="P21" s="19" t="str">
        <x:v>NP01</x:v>
      </x:c>
      <x:c r="Q21" s="19" t="str">
        <x:v>P01_R2_Evidence_Record_NP01-B-F06_v0.8.0.html</x:v>
      </x:c>
    </x:row>
    <x:row r="22">
      <x:c r="A22" s="21" t="str">
        <x:v>P01</x:v>
      </x:c>
      <x:c r="B22" s="21" t="str">
        <x:v>P01</x:v>
      </x:c>
      <x:c r="C22" s="21" t="str">
        <x:v>Prototype</x:v>
      </x:c>
      <x:c r="D22" s="21" t="str">
        <x:v>NP01-B</x:v>
      </x:c>
      <x:c r="E22" s="21" t="str">
        <x:v>Topic</x:v>
      </x:c>
      <x:c r="F22" s="21" t="str">
        <x:v>NP01-B:improvement_priority</x:v>
      </x:c>
      <x:c r="G22" s="21" t="str">
        <x:v>improvement_priority</x:v>
      </x:c>
      <x:c r="H22" s="21" t="str">
        <x:v>partially_answered</x:v>
      </x:c>
      <x:c r="I22" s="21" t="str">
        <x:v>Improvement priority has missing Protocol information: expected benefit or prevented problem.</x:v>
      </x:c>
      <x:c r="J22" s="21" t="str">
        <x:v>partially_answered</x:v>
      </x:c>
      <x:c r="K22" s="21" t="str">
        <x:v>expected benefit or prevented problem</x:v>
      </x:c>
      <x:c r="L22" s="26" t="n">
        <x:v>1</x:v>
      </x:c>
      <x:c r="M22" s="21" t="str"/>
      <x:c r="N22" s="21" t="str">
        <x:v>Coverage shown in final reviewed HTML record</x:v>
      </x:c>
      <x:c r="O22" s="21" t="n">
        <x:v>2</x:v>
      </x:c>
      <x:c r="P22" s="21" t="str">
        <x:v>NP01</x:v>
      </x:c>
      <x:c r="Q22" s="21" t="str">
        <x:v>P01_R2_Evidence_Record_NP01-B-F06_v0.8.0.html</x:v>
      </x:c>
    </x:row>
    <x:row r="23">
      <x:c r="A23" s="19" t="str">
        <x:v>P01</x:v>
      </x:c>
      <x:c r="B23" s="19" t="str">
        <x:v>P01</x:v>
      </x:c>
      <x:c r="C23" s="19" t="str">
        <x:v>Prototype</x:v>
      </x:c>
      <x:c r="D23" s="19" t="str">
        <x:v>NP01-B</x:v>
      </x:c>
      <x:c r="E23" s="19" t="str">
        <x:v>Topic</x:v>
      </x:c>
      <x:c r="F23" s="19" t="str">
        <x:v>NP01-B:meeting_context</x:v>
      </x:c>
      <x:c r="G23" s="19" t="str">
        <x:v>meeting_context</x:v>
      </x:c>
      <x:c r="H23" s="19" t="str">
        <x:v>fully_answered</x:v>
      </x:c>
      <x:c r="I23" s="19" t="str"/>
      <x:c r="J23" s="19" t="str">
        <x:v>fully_answered</x:v>
      </x:c>
      <x:c r="K23" s="19" t="str"/>
      <x:c r="L23" s="26" t="n">
        <x:v>1</x:v>
      </x:c>
      <x:c r="M23" s="19" t="str"/>
      <x:c r="N23" s="19" t="str">
        <x:v>Coverage shown in final reviewed HTML record</x:v>
      </x:c>
      <x:c r="O23" s="19" t="n">
        <x:v>2</x:v>
      </x:c>
      <x:c r="P23" s="19" t="str">
        <x:v>NP01</x:v>
      </x:c>
      <x:c r="Q23" s="19" t="str">
        <x:v>P01_R2_Evidence_Record_NP01-B-F06_v0.8.0.html</x:v>
      </x:c>
    </x:row>
    <x:row r="24">
      <x:c r="A24" s="21" t="str">
        <x:v>P01</x:v>
      </x:c>
      <x:c r="B24" s="21" t="str">
        <x:v>P01</x:v>
      </x:c>
      <x:c r="C24" s="21" t="str">
        <x:v>Prototype</x:v>
      </x:c>
      <x:c r="D24" s="21" t="str">
        <x:v>NP01-B</x:v>
      </x:c>
      <x:c r="E24" s="21" t="str">
        <x:v>Topic</x:v>
      </x:c>
      <x:c r="F24" s="21" t="str">
        <x:v>NP01-B:participation_experience</x:v>
      </x:c>
      <x:c r="G24" s="21" t="str">
        <x:v>participation_experience</x:v>
      </x:c>
      <x:c r="H24" s="21" t="str">
        <x:v>fully_answered</x:v>
      </x:c>
      <x:c r="I24" s="21" t="str"/>
      <x:c r="J24" s="21" t="str">
        <x:v>fully_answered</x:v>
      </x:c>
      <x:c r="K24" s="21" t="str"/>
      <x:c r="L24" s="26" t="n">
        <x:v>1</x:v>
      </x:c>
      <x:c r="M24" s="21" t="str"/>
      <x:c r="N24" s="21" t="str">
        <x:v>Coverage shown in final reviewed HTML record</x:v>
      </x:c>
      <x:c r="O24" s="21" t="n">
        <x:v>2</x:v>
      </x:c>
      <x:c r="P24" s="21" t="str">
        <x:v>NP01</x:v>
      </x:c>
      <x:c r="Q24" s="21" t="str">
        <x:v>P01_R2_Evidence_Record_NP01-B-F06_v0.8.0.html</x:v>
      </x:c>
    </x:row>
    <x:row r="25">
      <x:c r="A25" s="19" t="str">
        <x:v>P02</x:v>
      </x:c>
      <x:c r="B25" s="19" t="str">
        <x:v>P02</x:v>
      </x:c>
      <x:c r="C25" s="19" t="str">
        <x:v>Prototype</x:v>
      </x:c>
      <x:c r="D25" s="19" t="str">
        <x:v>NP02-A</x:v>
      </x:c>
      <x:c r="E25" s="19" t="str">
        <x:v>Item</x:v>
      </x:c>
      <x:c r="F25" s="19" t="str">
        <x:v>NP02-A-E1</x:v>
      </x:c>
      <x:c r="G25" s="19" t="str">
        <x:v>journey_context</x:v>
      </x:c>
      <x:c r="H25" s="19" t="str">
        <x:v>Include</x:v>
      </x:c>
      <x:c r="I25" s="19" t="str"/>
      <x:c r="J25" s="19" t="str">
        <x:v>Include</x:v>
      </x:c>
      <x:c r="K25" s="19" t="str"/>
      <x:c r="L25" s="26" t="n">
        <x:v>1</x:v>
      </x:c>
      <x:c r="M25" s="19" t="str"/>
      <x:c r="N25" s="19" t="str">
        <x:v>Final reviewed HTML record</x:v>
      </x:c>
      <x:c r="O25" s="19" t="n">
        <x:v>1</x:v>
      </x:c>
      <x:c r="P25" s="19" t="str">
        <x:v>NP02</x:v>
      </x:c>
      <x:c r="Q25" s="19" t="str">
        <x:v>P02_R1_Evidence_Record_NP02-A-F06_v0.8.0.html</x:v>
      </x:c>
    </x:row>
    <x:row r="26">
      <x:c r="A26" s="21" t="str">
        <x:v>P02</x:v>
      </x:c>
      <x:c r="B26" s="21" t="str">
        <x:v>P02</x:v>
      </x:c>
      <x:c r="C26" s="21" t="str">
        <x:v>Prototype</x:v>
      </x:c>
      <x:c r="D26" s="21" t="str">
        <x:v>NP02-A</x:v>
      </x:c>
      <x:c r="E26" s="21" t="str">
        <x:v>Item</x:v>
      </x:c>
      <x:c r="F26" s="21" t="str">
        <x:v>NP02-A-E2</x:v>
      </x:c>
      <x:c r="G26" s="21" t="str">
        <x:v>information_search</x:v>
      </x:c>
      <x:c r="H26" s="21" t="str">
        <x:v>Include</x:v>
      </x:c>
      <x:c r="I26" s="21" t="str"/>
      <x:c r="J26" s="21" t="str">
        <x:v>Include</x:v>
      </x:c>
      <x:c r="K26" s="21" t="str"/>
      <x:c r="L26" s="26" t="n">
        <x:v>1</x:v>
      </x:c>
      <x:c r="M26" s="21" t="str"/>
      <x:c r="N26" s="21" t="str">
        <x:v>Final reviewed HTML record</x:v>
      </x:c>
      <x:c r="O26" s="21" t="n">
        <x:v>1</x:v>
      </x:c>
      <x:c r="P26" s="21" t="str">
        <x:v>NP02</x:v>
      </x:c>
      <x:c r="Q26" s="21" t="str">
        <x:v>P02_R1_Evidence_Record_NP02-A-F06_v0.8.0.html</x:v>
      </x:c>
    </x:row>
    <x:row r="27">
      <x:c r="A27" s="19" t="str">
        <x:v>P02</x:v>
      </x:c>
      <x:c r="B27" s="19" t="str">
        <x:v>P02</x:v>
      </x:c>
      <x:c r="C27" s="19" t="str">
        <x:v>Prototype</x:v>
      </x:c>
      <x:c r="D27" s="19" t="str">
        <x:v>NP02-A</x:v>
      </x:c>
      <x:c r="E27" s="19" t="str">
        <x:v>Item</x:v>
      </x:c>
      <x:c r="F27" s="19" t="str">
        <x:v>NP02-A-E3</x:v>
      </x:c>
      <x:c r="G27" s="19" t="str">
        <x:v>decision_outcome</x:v>
      </x:c>
      <x:c r="H27" s="19" t="str">
        <x:v>Edit</x:v>
      </x:c>
      <x:c r="I27" s="19" t="str"/>
      <x:c r="J27" s="19" t="str">
        <x:v>Edit</x:v>
      </x:c>
      <x:c r="K27" s="19" t="str"/>
      <x:c r="L27" s="26" t="n">
        <x:v>1</x:v>
      </x:c>
      <x:c r="M27" s="19" t="str"/>
      <x:c r="N27" s="19" t="str">
        <x:v>Final reviewed HTML record</x:v>
      </x:c>
      <x:c r="O27" s="19" t="n">
        <x:v>1</x:v>
      </x:c>
      <x:c r="P27" s="19" t="str">
        <x:v>NP02</x:v>
      </x:c>
      <x:c r="Q27" s="19" t="str">
        <x:v>P02_R1_Evidence_Record_NP02-A-F06_v0.8.0.html</x:v>
      </x:c>
    </x:row>
    <x:row r="28">
      <x:c r="A28" s="21" t="str">
        <x:v>P02</x:v>
      </x:c>
      <x:c r="B28" s="21" t="str">
        <x:v>P02</x:v>
      </x:c>
      <x:c r="C28" s="21" t="str">
        <x:v>Prototype</x:v>
      </x:c>
      <x:c r="D28" s="21" t="str">
        <x:v>NP02-A</x:v>
      </x:c>
      <x:c r="E28" s="21" t="str">
        <x:v>Item</x:v>
      </x:c>
      <x:c r="F28" s="21" t="str">
        <x:v>NP02-A-E4</x:v>
      </x:c>
      <x:c r="G28" s="21" t="str">
        <x:v>information_search</x:v>
      </x:c>
      <x:c r="H28" s="21" t="str">
        <x:v>Exclude</x:v>
      </x:c>
      <x:c r="I28" s="21" t="str"/>
      <x:c r="J28" s="21" t="str">
        <x:v>Exclude</x:v>
      </x:c>
      <x:c r="K28" s="21" t="str"/>
      <x:c r="L28" s="26" t="n">
        <x:v>1</x:v>
      </x:c>
      <x:c r="M28" s="21" t="str"/>
      <x:c r="N28" s="21" t="str">
        <x:v>The transcript does not mention a push notification.</x:v>
      </x:c>
      <x:c r="O28" s="21" t="n">
        <x:v>1</x:v>
      </x:c>
      <x:c r="P28" s="21" t="str">
        <x:v>NP02</x:v>
      </x:c>
      <x:c r="Q28" s="21" t="str">
        <x:v>P02_R1_Evidence_Record_NP02-A-F06_v0.8.0.html</x:v>
      </x:c>
    </x:row>
    <x:row r="29">
      <x:c r="A29" s="19" t="str">
        <x:v>P02</x:v>
      </x:c>
      <x:c r="B29" s="19" t="str">
        <x:v>P02</x:v>
      </x:c>
      <x:c r="C29" s="19" t="str">
        <x:v>Prototype</x:v>
      </x:c>
      <x:c r="D29" s="19" t="str">
        <x:v>NP02-A</x:v>
      </x:c>
      <x:c r="E29" s="19" t="str">
        <x:v>Item</x:v>
      </x:c>
      <x:c r="F29" s="19" t="str">
        <x:v>NP02-A-E5</x:v>
      </x:c>
      <x:c r="G29" s="19" t="str">
        <x:v>information_search</x:v>
      </x:c>
      <x:c r="H29" s="19" t="str">
        <x:v>Include</x:v>
      </x:c>
      <x:c r="I29" s="19" t="str"/>
      <x:c r="J29" s="19" t="str">
        <x:v>Edit source</x:v>
      </x:c>
      <x:c r="K29" s="19" t="str"/>
      <x:c r="L29" s="40" t="n">
        <x:v>0</x:v>
      </x:c>
      <x:c r="M29" s="19" t="str">
        <x:v>Incorrect source link</x:v>
      </x:c>
      <x:c r="N29" s="19" t="str">
        <x:v>Final reviewed HTML links NP02-A-E5 to Participant response 3 (A-M04), while the directly supporting source required by Gold is Participant response 4 (A-M06).</x:v>
      </x:c>
      <x:c r="O29" s="19" t="n">
        <x:v>1</x:v>
      </x:c>
      <x:c r="P29" s="19" t="str">
        <x:v>NP02</x:v>
      </x:c>
      <x:c r="Q29" s="19" t="str">
        <x:v>P02_R1_Evidence_Record_NP02-A-F06_v0.8.0.html</x:v>
      </x:c>
    </x:row>
    <x:row r="30">
      <x:c r="A30" s="21" t="str">
        <x:v>P02</x:v>
      </x:c>
      <x:c r="B30" s="21" t="str">
        <x:v>P02</x:v>
      </x:c>
      <x:c r="C30" s="21" t="str">
        <x:v>Prototype</x:v>
      </x:c>
      <x:c r="D30" s="21" t="str">
        <x:v>NP02-A</x:v>
      </x:c>
      <x:c r="E30" s="21" t="str">
        <x:v>Item</x:v>
      </x:c>
      <x:c r="F30" s="21" t="str">
        <x:v>NP02-A-E6</x:v>
      </x:c>
      <x:c r="G30" s="21" t="str">
        <x:v>information_improvement</x:v>
      </x:c>
      <x:c r="H30" s="21" t="str">
        <x:v>Edit and flag partial</x:v>
      </x:c>
      <x:c r="I30" s="21" t="str">
        <x:v>Information improvement has missing Protocol information: expected effect of the preferred improvement.</x:v>
      </x:c>
      <x:c r="J30" s="21" t="str">
        <x:v>Edit and flag partial</x:v>
      </x:c>
      <x:c r="K30" s="21" t="str">
        <x:v>Expected-effect gap</x:v>
      </x:c>
      <x:c r="L30" s="26" t="n">
        <x:v>1</x:v>
      </x:c>
      <x:c r="M30" s="21" t="str"/>
      <x:c r="N30" s="21" t="str">
        <x:v>Final reviewed HTML record</x:v>
      </x:c>
      <x:c r="O30" s="21" t="n">
        <x:v>1</x:v>
      </x:c>
      <x:c r="P30" s="21" t="str">
        <x:v>NP02</x:v>
      </x:c>
      <x:c r="Q30" s="21" t="str">
        <x:v>P02_R1_Evidence_Record_NP02-A-F06_v0.8.0.html</x:v>
      </x:c>
    </x:row>
    <x:row r="31">
      <x:c r="A31" s="19" t="str">
        <x:v>P02</x:v>
      </x:c>
      <x:c r="B31" s="19" t="str">
        <x:v>P02</x:v>
      </x:c>
      <x:c r="C31" s="19" t="str">
        <x:v>Prototype</x:v>
      </x:c>
      <x:c r="D31" s="19" t="str">
        <x:v>NP02-A</x:v>
      </x:c>
      <x:c r="E31" s="19" t="str">
        <x:v>Topic</x:v>
      </x:c>
      <x:c r="F31" s="19" t="str">
        <x:v>NP02-A:decision_outcome</x:v>
      </x:c>
      <x:c r="G31" s="19" t="str">
        <x:v>decision_outcome</x:v>
      </x:c>
      <x:c r="H31" s="19" t="str">
        <x:v>fully_answered</x:v>
      </x:c>
      <x:c r="I31" s="19" t="str"/>
      <x:c r="J31" s="19" t="str">
        <x:v>fully_answered</x:v>
      </x:c>
      <x:c r="K31" s="19" t="str"/>
      <x:c r="L31" s="26" t="n">
        <x:v>1</x:v>
      </x:c>
      <x:c r="M31" s="19" t="str"/>
      <x:c r="N31" s="19" t="str">
        <x:v>Coverage shown in final reviewed HTML record</x:v>
      </x:c>
      <x:c r="O31" s="19" t="n">
        <x:v>1</x:v>
      </x:c>
      <x:c r="P31" s="19" t="str">
        <x:v>NP02</x:v>
      </x:c>
      <x:c r="Q31" s="19" t="str">
        <x:v>P02_R1_Evidence_Record_NP02-A-F06_v0.8.0.html</x:v>
      </x:c>
    </x:row>
    <x:row r="32">
      <x:c r="A32" s="21" t="str">
        <x:v>P02</x:v>
      </x:c>
      <x:c r="B32" s="21" t="str">
        <x:v>P02</x:v>
      </x:c>
      <x:c r="C32" s="21" t="str">
        <x:v>Prototype</x:v>
      </x:c>
      <x:c r="D32" s="21" t="str">
        <x:v>NP02-A</x:v>
      </x:c>
      <x:c r="E32" s="21" t="str">
        <x:v>Topic</x:v>
      </x:c>
      <x:c r="F32" s="21" t="str">
        <x:v>NP02-A:information_improvement</x:v>
      </x:c>
      <x:c r="G32" s="21" t="str">
        <x:v>information_improvement</x:v>
      </x:c>
      <x:c r="H32" s="21" t="str">
        <x:v>partially_answered</x:v>
      </x:c>
      <x:c r="I32" s="21" t="str">
        <x:v>Information improvement has missing Protocol information: expected effect of the preferred improvement.</x:v>
      </x:c>
      <x:c r="J32" s="21" t="str">
        <x:v>partially_answered</x:v>
      </x:c>
      <x:c r="K32" s="21" t="str">
        <x:v>expected effect of the preferred improvement</x:v>
      </x:c>
      <x:c r="L32" s="26" t="n">
        <x:v>1</x:v>
      </x:c>
      <x:c r="M32" s="21" t="str"/>
      <x:c r="N32" s="21" t="str">
        <x:v>Coverage shown in final reviewed HTML record</x:v>
      </x:c>
      <x:c r="O32" s="21" t="n">
        <x:v>1</x:v>
      </x:c>
      <x:c r="P32" s="21" t="str">
        <x:v>NP02</x:v>
      </x:c>
      <x:c r="Q32" s="21" t="str">
        <x:v>P02_R1_Evidence_Record_NP02-A-F06_v0.8.0.html</x:v>
      </x:c>
    </x:row>
    <x:row r="33">
      <x:c r="A33" s="19" t="str">
        <x:v>P02</x:v>
      </x:c>
      <x:c r="B33" s="19" t="str">
        <x:v>P02</x:v>
      </x:c>
      <x:c r="C33" s="19" t="str">
        <x:v>Prototype</x:v>
      </x:c>
      <x:c r="D33" s="19" t="str">
        <x:v>NP02-A</x:v>
      </x:c>
      <x:c r="E33" s="19" t="str">
        <x:v>Topic</x:v>
      </x:c>
      <x:c r="F33" s="19" t="str">
        <x:v>NP02-A:information_search</x:v>
      </x:c>
      <x:c r="G33" s="19" t="str">
        <x:v>information_search</x:v>
      </x:c>
      <x:c r="H33" s="19" t="str">
        <x:v>fully_answered</x:v>
      </x:c>
      <x:c r="I33" s="19" t="str"/>
      <x:c r="J33" s="19" t="str">
        <x:v>fully_answered</x:v>
      </x:c>
      <x:c r="K33" s="19" t="str"/>
      <x:c r="L33" s="26" t="n">
        <x:v>1</x:v>
      </x:c>
      <x:c r="M33" s="19" t="str"/>
      <x:c r="N33" s="19" t="str">
        <x:v>Coverage shown in final reviewed HTML record</x:v>
      </x:c>
      <x:c r="O33" s="19" t="n">
        <x:v>1</x:v>
      </x:c>
      <x:c r="P33" s="19" t="str">
        <x:v>NP02</x:v>
      </x:c>
      <x:c r="Q33" s="19" t="str">
        <x:v>P02_R1_Evidence_Record_NP02-A-F06_v0.8.0.html</x:v>
      </x:c>
    </x:row>
    <x:row r="34">
      <x:c r="A34" s="21" t="str">
        <x:v>P02</x:v>
      </x:c>
      <x:c r="B34" s="21" t="str">
        <x:v>P02</x:v>
      </x:c>
      <x:c r="C34" s="21" t="str">
        <x:v>Prototype</x:v>
      </x:c>
      <x:c r="D34" s="21" t="str">
        <x:v>NP02-A</x:v>
      </x:c>
      <x:c r="E34" s="21" t="str">
        <x:v>Topic</x:v>
      </x:c>
      <x:c r="F34" s="21" t="str">
        <x:v>NP02-A:journey_context</x:v>
      </x:c>
      <x:c r="G34" s="21" t="str">
        <x:v>journey_context</x:v>
      </x:c>
      <x:c r="H34" s="21" t="str">
        <x:v>fully_answered</x:v>
      </x:c>
      <x:c r="I34" s="21" t="str"/>
      <x:c r="J34" s="21" t="str">
        <x:v>fully_answered</x:v>
      </x:c>
      <x:c r="K34" s="21" t="str"/>
      <x:c r="L34" s="26" t="n">
        <x:v>1</x:v>
      </x:c>
      <x:c r="M34" s="21" t="str"/>
      <x:c r="N34" s="21" t="str">
        <x:v>Coverage shown in final reviewed HTML record</x:v>
      </x:c>
      <x:c r="O34" s="21" t="n">
        <x:v>1</x:v>
      </x:c>
      <x:c r="P34" s="21" t="str">
        <x:v>NP02</x:v>
      </x:c>
      <x:c r="Q34" s="21" t="str">
        <x:v>P02_R1_Evidence_Record_NP02-A-F06_v0.8.0.html</x:v>
      </x:c>
    </x:row>
    <x:row r="35">
      <x:c r="A35" s="19" t="str">
        <x:v>P02</x:v>
      </x:c>
      <x:c r="B35" s="19" t="str">
        <x:v>P02</x:v>
      </x:c>
      <x:c r="C35" s="19" t="str">
        <x:v>Manual</x:v>
      </x:c>
      <x:c r="D35" s="19" t="str">
        <x:v>NP02-B</x:v>
      </x:c>
      <x:c r="E35" s="19" t="str">
        <x:v>Item</x:v>
      </x:c>
      <x:c r="F35" s="19" t="str">
        <x:v>NP02-B-E1</x:v>
      </x:c>
      <x:c r="G35" s="19" t="str">
        <x:v>journey_context</x:v>
      </x:c>
      <x:c r="H35" s="19" t="str">
        <x:v>Edit</x:v>
      </x:c>
      <x:c r="I35" s="19" t="str"/>
      <x:c r="J35" s="19" t="str">
        <x:v>Include</x:v>
      </x:c>
      <x:c r="K35" s="19" t="str"/>
      <x:c r="L35" s="26" t="n">
        <x:v>1</x:v>
      </x:c>
      <x:c r="M35" s="19" t="str"/>
      <x:c r="N35" s="19" t="str">
        <x:v>B-M02 says people were directed toward a replacement bus; it does not specify that the bus was announced.</x:v>
      </x:c>
      <x:c r="O35" s="19" t="n">
        <x:v>2</x:v>
      </x:c>
      <x:c r="P35" s="19" t="str">
        <x:v>NP02</x:v>
      </x:c>
      <x:c r="Q35" s="19" t="str">
        <x:v>P02_R2_Manual_NP02-B_COMPLETED_v0.8.0.xlsx</x:v>
      </x:c>
    </x:row>
    <x:row r="36">
      <x:c r="A36" s="21" t="str">
        <x:v>P02</x:v>
      </x:c>
      <x:c r="B36" s="21" t="str">
        <x:v>P02</x:v>
      </x:c>
      <x:c r="C36" s="21" t="str">
        <x:v>Manual</x:v>
      </x:c>
      <x:c r="D36" s="21" t="str">
        <x:v>NP02-B</x:v>
      </x:c>
      <x:c r="E36" s="21" t="str">
        <x:v>Item</x:v>
      </x:c>
      <x:c r="F36" s="21" t="str">
        <x:v>NP02-B-E2</x:v>
      </x:c>
      <x:c r="G36" s="21" t="str">
        <x:v>information_search</x:v>
      </x:c>
      <x:c r="H36" s="21" t="str">
        <x:v>Include</x:v>
      </x:c>
      <x:c r="I36" s="21" t="str"/>
      <x:c r="J36" s="21" t="str">
        <x:v>Include</x:v>
      </x:c>
      <x:c r="K36" s="21" t="str"/>
      <x:c r="L36" s="26" t="n">
        <x:v>1</x:v>
      </x:c>
      <x:c r="M36" s="21" t="str"/>
      <x:c r="N36" s="21" t="str">
        <x:v>B-M04 and B-M06 directly support the checking sequence and the mismatch between the planner and service page.</x:v>
      </x:c>
      <x:c r="O36" s="21" t="n">
        <x:v>2</x:v>
      </x:c>
      <x:c r="P36" s="21" t="str">
        <x:v>NP02</x:v>
      </x:c>
      <x:c r="Q36" s="21" t="str">
        <x:v>P02_R2_Manual_NP02-B_COMPLETED_v0.8.0.xlsx</x:v>
      </x:c>
    </x:row>
    <x:row r="37">
      <x:c r="A37" s="19" t="str">
        <x:v>P02</x:v>
      </x:c>
      <x:c r="B37" s="19" t="str">
        <x:v>P02</x:v>
      </x:c>
      <x:c r="C37" s="19" t="str">
        <x:v>Manual</x:v>
      </x:c>
      <x:c r="D37" s="19" t="str">
        <x:v>NP02-B</x:v>
      </x:c>
      <x:c r="E37" s="19" t="str">
        <x:v>Item</x:v>
      </x:c>
      <x:c r="F37" s="19" t="str">
        <x:v>NP02-B-E3</x:v>
      </x:c>
      <x:c r="G37" s="19" t="str">
        <x:v>decision_outcome</x:v>
      </x:c>
      <x:c r="H37" s="19" t="str">
        <x:v>Edit</x:v>
      </x:c>
      <x:c r="I37" s="19" t="str"/>
      <x:c r="J37" s="19" t="str">
        <x:v>Edit</x:v>
      </x:c>
      <x:c r="K37" s="19" t="str"/>
      <x:c r="L37" s="26" t="n">
        <x:v>1</x:v>
      </x:c>
      <x:c r="M37" s="19" t="str"/>
      <x:c r="N37" s="19" t="str">
        <x:v>B-M08 supports the move to the bus departure point; B-M10 reports a half-hour-late arrival, not fifteen minutes late.</x:v>
      </x:c>
      <x:c r="O37" s="19" t="n">
        <x:v>2</x:v>
      </x:c>
      <x:c r="P37" s="19" t="str">
        <x:v>NP02</x:v>
      </x:c>
      <x:c r="Q37" s="19" t="str">
        <x:v>P02_R2_Manual_NP02-B_COMPLETED_v0.8.0.xlsx</x:v>
      </x:c>
    </x:row>
    <x:row r="38">
      <x:c r="A38" s="21" t="str">
        <x:v>P02</x:v>
      </x:c>
      <x:c r="B38" s="21" t="str">
        <x:v>P02</x:v>
      </x:c>
      <x:c r="C38" s="21" t="str">
        <x:v>Manual</x:v>
      </x:c>
      <x:c r="D38" s="21" t="str">
        <x:v>NP02-B</x:v>
      </x:c>
      <x:c r="E38" s="21" t="str">
        <x:v>Item</x:v>
      </x:c>
      <x:c r="F38" s="21" t="str">
        <x:v>NP02-B-E4</x:v>
      </x:c>
      <x:c r="G38" s="21" t="str">
        <x:v>information_search</x:v>
      </x:c>
      <x:c r="H38" s="21" t="str">
        <x:v>Exclude</x:v>
      </x:c>
      <x:c r="I38" s="21" t="str"/>
      <x:c r="J38" s="21" t="str">
        <x:v>Exclude</x:v>
      </x:c>
      <x:c r="K38" s="21" t="str"/>
      <x:c r="L38" s="26" t="n">
        <x:v>1</x:v>
      </x:c>
      <x:c r="M38" s="21" t="str"/>
      <x:c r="N38" s="21" t="str">
        <x:v>B-M06 mentions an announcement and service-page check, but no staff escort.</x:v>
      </x:c>
      <x:c r="O38" s="21" t="n">
        <x:v>2</x:v>
      </x:c>
      <x:c r="P38" s="21" t="str">
        <x:v>NP02</x:v>
      </x:c>
      <x:c r="Q38" s="21" t="str">
        <x:v>P02_R2_Manual_NP02-B_COMPLETED_v0.8.0.xlsx</x:v>
      </x:c>
    </x:row>
    <x:row r="39">
      <x:c r="A39" s="19" t="str">
        <x:v>P02</x:v>
      </x:c>
      <x:c r="B39" s="19" t="str">
        <x:v>P02</x:v>
      </x:c>
      <x:c r="C39" s="19" t="str">
        <x:v>Manual</x:v>
      </x:c>
      <x:c r="D39" s="19" t="str">
        <x:v>NP02-B</x:v>
      </x:c>
      <x:c r="E39" s="19" t="str">
        <x:v>Item</x:v>
      </x:c>
      <x:c r="F39" s="19" t="str">
        <x:v>NP02-B-E5</x:v>
      </x:c>
      <x:c r="G39" s="19" t="str">
        <x:v>information_search</x:v>
      </x:c>
      <x:c r="H39" s="19" t="str">
        <x:v>Edit source</x:v>
      </x:c>
      <x:c r="I39" s="19" t="str"/>
      <x:c r="J39" s="19" t="str">
        <x:v>Edit source</x:v>
      </x:c>
      <x:c r="K39" s="19" t="str"/>
      <x:c r="L39" s="26" t="n">
        <x:v>1</x:v>
      </x:c>
      <x:c r="M39" s="19" t="str"/>
      <x:c r="N39" s="19" t="str">
        <x:v>B-M06 directly supports both parts of the statement; B-M02 only describes the disruption.</x:v>
      </x:c>
      <x:c r="O39" s="19" t="n">
        <x:v>2</x:v>
      </x:c>
      <x:c r="P39" s="19" t="str">
        <x:v>NP02</x:v>
      </x:c>
      <x:c r="Q39" s="19" t="str">
        <x:v>P02_R2_Manual_NP02-B_COMPLETED_v0.8.0.xlsx</x:v>
      </x:c>
    </x:row>
    <x:row r="40">
      <x:c r="A40" s="21" t="str">
        <x:v>P02</x:v>
      </x:c>
      <x:c r="B40" s="21" t="str">
        <x:v>P02</x:v>
      </x:c>
      <x:c r="C40" s="21" t="str">
        <x:v>Manual</x:v>
      </x:c>
      <x:c r="D40" s="21" t="str">
        <x:v>NP02-B</x:v>
      </x:c>
      <x:c r="E40" s="21" t="str">
        <x:v>Item</x:v>
      </x:c>
      <x:c r="F40" s="21" t="str">
        <x:v>NP02-B-E6</x:v>
      </x:c>
      <x:c r="G40" s="21" t="str">
        <x:v>information_improvement</x:v>
      </x:c>
      <x:c r="H40" s="21" t="str">
        <x:v>Edit and flag partial</x:v>
      </x:c>
      <x:c r="I40" s="21" t="str">
        <x:v>expected effect of the preferred improvement</x:v>
      </x:c>
      <x:c r="J40" s="21" t="str">
        <x:v>Edit and flag partial</x:v>
      </x:c>
      <x:c r="K40" s="21" t="str">
        <x:v>Expected-effect gap</x:v>
      </x:c>
      <x:c r="L40" s="26" t="n">
        <x:v>1</x:v>
      </x:c>
      <x:c r="M40" s="21" t="str"/>
      <x:c r="N40" s="21" t="str">
        <x:v>B-M12 supports the requested change; B-M14 leaves its effect on arrival unverified.</x:v>
      </x:c>
      <x:c r="O40" s="21" t="n">
        <x:v>2</x:v>
      </x:c>
      <x:c r="P40" s="21" t="str">
        <x:v>NP02</x:v>
      </x:c>
      <x:c r="Q40" s="21" t="str">
        <x:v>P02_R2_Manual_NP02-B_COMPLETED_v0.8.0.xlsx</x:v>
      </x:c>
    </x:row>
    <x:row r="41">
      <x:c r="A41" s="19" t="str">
        <x:v>P02</x:v>
      </x:c>
      <x:c r="B41" s="19" t="str">
        <x:v>P02</x:v>
      </x:c>
      <x:c r="C41" s="19" t="str">
        <x:v>Manual</x:v>
      </x:c>
      <x:c r="D41" s="19" t="str">
        <x:v>NP02-B</x:v>
      </x:c>
      <x:c r="E41" s="19" t="str">
        <x:v>Topic</x:v>
      </x:c>
      <x:c r="F41" s="19" t="str">
        <x:v>NP02-B:decision_outcome</x:v>
      </x:c>
      <x:c r="G41" s="19" t="str">
        <x:v>decision_outcome</x:v>
      </x:c>
      <x:c r="H41" s="19" t="str">
        <x:v>fully_answered</x:v>
      </x:c>
      <x:c r="I41" s="19" t="str"/>
      <x:c r="J41" s="19" t="str">
        <x:v>fully_answered</x:v>
      </x:c>
      <x:c r="K41" s="19" t="str"/>
      <x:c r="L41" s="26" t="n">
        <x:v>1</x:v>
      </x:c>
      <x:c r="M41" s="19" t="str"/>
      <x:c r="N41" s="19" t="str">
        <x:v>B-M08 records the move to the station entrance; B-M10 gives the bus departure and arrival about half an hour late.</x:v>
      </x:c>
      <x:c r="O41" s="19" t="n">
        <x:v>2</x:v>
      </x:c>
      <x:c r="P41" s="19" t="str">
        <x:v>NP02</x:v>
      </x:c>
      <x:c r="Q41" s="19" t="str">
        <x:v>P02_R2_Manual_NP02-B_COMPLETED_v0.8.0.xlsx</x:v>
      </x:c>
    </x:row>
    <x:row r="42">
      <x:c r="A42" s="21" t="str">
        <x:v>P02</x:v>
      </x:c>
      <x:c r="B42" s="21" t="str">
        <x:v>P02</x:v>
      </x:c>
      <x:c r="C42" s="21" t="str">
        <x:v>Manual</x:v>
      </x:c>
      <x:c r="D42" s="21" t="str">
        <x:v>NP02-B</x:v>
      </x:c>
      <x:c r="E42" s="21" t="str">
        <x:v>Topic</x:v>
      </x:c>
      <x:c r="F42" s="21" t="str">
        <x:v>NP02-B:information_improvement</x:v>
      </x:c>
      <x:c r="G42" s="21" t="str">
        <x:v>information_improvement</x:v>
      </x:c>
      <x:c r="H42" s="21" t="str">
        <x:v>partially_answered</x:v>
      </x:c>
      <x:c r="I42" s="21" t="str">
        <x:v>expected effect of the preferred improvement</x:v>
      </x:c>
      <x:c r="J42" s="21" t="str">
        <x:v>partially_answered</x:v>
      </x:c>
      <x:c r="K42" s="21" t="str">
        <x:v>expected effect of the preferred improvement</x:v>
      </x:c>
      <x:c r="L42" s="26" t="n">
        <x:v>1</x:v>
      </x:c>
      <x:c r="M42" s="21" t="str"/>
      <x:c r="N42" s="21" t="str">
        <x:v>B-M12 states the missing planner information and preferred change; B-M14 does not establish its effect on arrival.</x:v>
      </x:c>
      <x:c r="O42" s="21" t="n">
        <x:v>2</x:v>
      </x:c>
      <x:c r="P42" s="21" t="str">
        <x:v>NP02</x:v>
      </x:c>
      <x:c r="Q42" s="21" t="str">
        <x:v>P02_R2_Manual_NP02-B_COMPLETED_v0.8.0.xlsx</x:v>
      </x:c>
    </x:row>
    <x:row r="43">
      <x:c r="A43" s="19" t="str">
        <x:v>P02</x:v>
      </x:c>
      <x:c r="B43" s="19" t="str">
        <x:v>P02</x:v>
      </x:c>
      <x:c r="C43" s="19" t="str">
        <x:v>Manual</x:v>
      </x:c>
      <x:c r="D43" s="19" t="str">
        <x:v>NP02-B</x:v>
      </x:c>
      <x:c r="E43" s="19" t="str">
        <x:v>Topic</x:v>
      </x:c>
      <x:c r="F43" s="19" t="str">
        <x:v>NP02-B:information_search</x:v>
      </x:c>
      <x:c r="G43" s="19" t="str">
        <x:v>information_search</x:v>
      </x:c>
      <x:c r="H43" s="19" t="str">
        <x:v>fully_answered</x:v>
      </x:c>
      <x:c r="I43" s="19" t="str"/>
      <x:c r="J43" s="19" t="str">
        <x:v>fully_answered</x:v>
      </x:c>
      <x:c r="K43" s="19" t="str"/>
      <x:c r="L43" s="26" t="n">
        <x:v>1</x:v>
      </x:c>
      <x:c r="M43" s="19" t="str"/>
      <x:c r="N43" s="19" t="str">
        <x:v>B-M04 records the first two checks; B-M06 gives the later checks, timing and order.</x:v>
      </x:c>
      <x:c r="O43" s="19" t="n">
        <x:v>2</x:v>
      </x:c>
      <x:c r="P43" s="19" t="str">
        <x:v>NP02</x:v>
      </x:c>
      <x:c r="Q43" s="19" t="str">
        <x:v>P02_R2_Manual_NP02-B_COMPLETED_v0.8.0.xlsx</x:v>
      </x:c>
    </x:row>
    <x:row r="44">
      <x:c r="A44" s="21" t="str">
        <x:v>P02</x:v>
      </x:c>
      <x:c r="B44" s="21" t="str">
        <x:v>P02</x:v>
      </x:c>
      <x:c r="C44" s="21" t="str">
        <x:v>Manual</x:v>
      </x:c>
      <x:c r="D44" s="21" t="str">
        <x:v>NP02-B</x:v>
      </x:c>
      <x:c r="E44" s="21" t="str">
        <x:v>Topic</x:v>
      </x:c>
      <x:c r="F44" s="21" t="str">
        <x:v>NP02-B:journey_context</x:v>
      </x:c>
      <x:c r="G44" s="21" t="str">
        <x:v>journey_context</x:v>
      </x:c>
      <x:c r="H44" s="21" t="str">
        <x:v>fully_answered</x:v>
      </x:c>
      <x:c r="I44" s="21" t="str"/>
      <x:c r="J44" s="21" t="str">
        <x:v>fully_answered</x:v>
      </x:c>
      <x:c r="K44" s="21" t="str"/>
      <x:c r="L44" s="26" t="n">
        <x:v>1</x:v>
      </x:c>
      <x:c r="M44" s="21" t="str"/>
      <x:c r="N44" s="21" t="str">
        <x:v>B-M02 identifies the regional train, journey purpose, cancellation and direction to a replacement bus.</x:v>
      </x:c>
      <x:c r="O44" s="21" t="n">
        <x:v>2</x:v>
      </x:c>
      <x:c r="P44" s="21" t="str">
        <x:v>NP02</x:v>
      </x:c>
      <x:c r="Q44" s="21" t="str">
        <x:v>P02_R2_Manual_NP02-B_COMPLETED_v0.8.0.xlsx</x:v>
      </x:c>
    </x:row>
    <x:row r="45">
      <x:c r="A45" s="19" t="str">
        <x:v>P03</x:v>
      </x:c>
      <x:c r="B45" s="19" t="str">
        <x:v>P03</x:v>
      </x:c>
      <x:c r="C45" s="19" t="str">
        <x:v>Manual</x:v>
      </x:c>
      <x:c r="D45" s="19" t="str">
        <x:v>NP03-B</x:v>
      </x:c>
      <x:c r="E45" s="19" t="str">
        <x:v>Item</x:v>
      </x:c>
      <x:c r="F45" s="19" t="str">
        <x:v>NP03-B-E1</x:v>
      </x:c>
      <x:c r="G45" s="19" t="str">
        <x:v>use_context</x:v>
      </x:c>
      <x:c r="H45" s="19" t="str">
        <x:v>Include</x:v>
      </x:c>
      <x:c r="I45" s="19" t="str"/>
      <x:c r="J45" s="19" t="str">
        <x:v>Include</x:v>
      </x:c>
      <x:c r="K45" s="19" t="str"/>
      <x:c r="L45" s="26" t="n">
        <x:v>1</x:v>
      </x:c>
      <x:c r="M45" s="19" t="str"/>
      <x:c r="N45" s="19" t="str">
        <x:v>B-M02 directly supports the setting, no-extra-charge reason and lobby return cabinet.</x:v>
      </x:c>
      <x:c r="O45" s="19" t="n">
        <x:v>1</x:v>
      </x:c>
      <x:c r="P45" s="19" t="str">
        <x:v>NP03</x:v>
      </x:c>
      <x:c r="Q45" s="19" t="str">
        <x:v>P03_R1_Manual_NP03-B_COMPLETED_v0.8.0.xlsx</x:v>
      </x:c>
    </x:row>
    <x:row r="46">
      <x:c r="A46" s="21" t="str">
        <x:v>P03</x:v>
      </x:c>
      <x:c r="B46" s="21" t="str">
        <x:v>P03</x:v>
      </x:c>
      <x:c r="C46" s="21" t="str">
        <x:v>Manual</x:v>
      </x:c>
      <x:c r="D46" s="21" t="str">
        <x:v>NP03-B</x:v>
      </x:c>
      <x:c r="E46" s="21" t="str">
        <x:v>Item</x:v>
      </x:c>
      <x:c r="F46" s="21" t="str">
        <x:v>NP03-B-E2</x:v>
      </x:c>
      <x:c r="G46" s="21" t="str">
        <x:v>return_process</x:v>
      </x:c>
      <x:c r="H46" s="21" t="str">
        <x:v>Include</x:v>
      </x:c>
      <x:c r="I46" s="21" t="str"/>
      <x:c r="J46" s="21" t="str">
        <x:v>Include</x:v>
      </x:c>
      <x:c r="K46" s="21" t="str"/>
      <x:c r="L46" s="26" t="n">
        <x:v>1</x:v>
      </x:c>
      <x:c r="M46" s="21" t="str"/>
      <x:c r="N46" s="21" t="str">
        <x:v>B-M04 and B-M06 support the scan, cabinet return, receipt confirmation and first-attempt completion.</x:v>
      </x:c>
      <x:c r="O46" s="21" t="n">
        <x:v>1</x:v>
      </x:c>
      <x:c r="P46" s="21" t="str">
        <x:v>NP03</x:v>
      </x:c>
      <x:c r="Q46" s="21" t="str">
        <x:v>P03_R1_Manual_NP03-B_COMPLETED_v0.8.0.xlsx</x:v>
      </x:c>
    </x:row>
    <x:row r="47">
      <x:c r="A47" s="19" t="str">
        <x:v>P03</x:v>
      </x:c>
      <x:c r="B47" s="19" t="str">
        <x:v>P03</x:v>
      </x:c>
      <x:c r="C47" s="19" t="str">
        <x:v>Manual</x:v>
      </x:c>
      <x:c r="D47" s="19" t="str">
        <x:v>NP03-B</x:v>
      </x:c>
      <x:c r="E47" s="19" t="str">
        <x:v>Item</x:v>
      </x:c>
      <x:c r="F47" s="19" t="str">
        <x:v>NP03-B-E3</x:v>
      </x:c>
      <x:c r="G47" s="19" t="str">
        <x:v>friction_enabler</x:v>
      </x:c>
      <x:c r="H47" s="19" t="str">
        <x:v>Edit</x:v>
      </x:c>
      <x:c r="I47" s="19" t="str"/>
      <x:c r="J47" s="19" t="str">
        <x:v>Edit</x:v>
      </x:c>
      <x:c r="K47" s="19" t="str"/>
      <x:c r="L47" s="26" t="n">
        <x:v>1</x:v>
      </x:c>
      <x:c r="M47" s="19" t="str"/>
      <x:c r="N47" s="19" t="str">
        <x:v>B-M08 says the compartment was not immediately clear; B-M10 records the icon comparison and extra time.</x:v>
      </x:c>
      <x:c r="O47" s="19" t="n">
        <x:v>1</x:v>
      </x:c>
      <x:c r="P47" s="19" t="str">
        <x:v>NP03</x:v>
      </x:c>
      <x:c r="Q47" s="19" t="str">
        <x:v>P03_R1_Manual_NP03-B_COMPLETED_v0.8.0.xlsx</x:v>
      </x:c>
    </x:row>
    <x:row r="48">
      <x:c r="A48" s="21" t="str">
        <x:v>P03</x:v>
      </x:c>
      <x:c r="B48" s="21" t="str">
        <x:v>P03</x:v>
      </x:c>
      <x:c r="C48" s="21" t="str">
        <x:v>Manual</x:v>
      </x:c>
      <x:c r="D48" s="21" t="str">
        <x:v>NP03-B</x:v>
      </x:c>
      <x:c r="E48" s="21" t="str">
        <x:v>Item</x:v>
      </x:c>
      <x:c r="F48" s="21" t="str">
        <x:v>NP03-B-E4</x:v>
      </x:c>
      <x:c r="G48" s="21" t="str">
        <x:v>return_process</x:v>
      </x:c>
      <x:c r="H48" s="21" t="str">
        <x:v>Exclude</x:v>
      </x:c>
      <x:c r="I48" s="21" t="str"/>
      <x:c r="J48" s="21" t="str">
        <x:v>Exclude</x:v>
      </x:c>
      <x:c r="K48" s="21" t="str"/>
      <x:c r="L48" s="26" t="n">
        <x:v>1</x:v>
      </x:c>
      <x:c r="M48" s="21" t="str"/>
      <x:c r="N48" s="21" t="str">
        <x:v>B-M04 says the participant carried and scanned the bowl; no staff member completed the return.</x:v>
      </x:c>
      <x:c r="O48" s="21" t="n">
        <x:v>1</x:v>
      </x:c>
      <x:c r="P48" s="21" t="str">
        <x:v>NP03</x:v>
      </x:c>
      <x:c r="Q48" s="21" t="str">
        <x:v>P03_R1_Manual_NP03-B_COMPLETED_v0.8.0.xlsx</x:v>
      </x:c>
    </x:row>
    <x:row r="49">
      <x:c r="A49" s="19" t="str">
        <x:v>P03</x:v>
      </x:c>
      <x:c r="B49" s="19" t="str">
        <x:v>P03</x:v>
      </x:c>
      <x:c r="C49" s="19" t="str">
        <x:v>Manual</x:v>
      </x:c>
      <x:c r="D49" s="19" t="str">
        <x:v>NP03-B</x:v>
      </x:c>
      <x:c r="E49" s="19" t="str">
        <x:v>Item</x:v>
      </x:c>
      <x:c r="F49" s="19" t="str">
        <x:v>NP03-B-E5</x:v>
      </x:c>
      <x:c r="G49" s="19" t="str">
        <x:v>return_process</x:v>
      </x:c>
      <x:c r="H49" s="19" t="str">
        <x:v>Edit source</x:v>
      </x:c>
      <x:c r="I49" s="19" t="str"/>
      <x:c r="J49" s="19" t="str">
        <x:v>Edit source</x:v>
      </x:c>
      <x:c r="K49" s="19" t="str"/>
      <x:c r="L49" s="26" t="n">
        <x:v>1</x:v>
      </x:c>
      <x:c r="M49" s="19" t="str"/>
      <x:c r="N49" s="19" t="str">
        <x:v>B-M06 directly supports receipt confirmation and first-attempt completion; B-M02 does not.</x:v>
      </x:c>
      <x:c r="O49" s="19" t="n">
        <x:v>1</x:v>
      </x:c>
      <x:c r="P49" s="19" t="str">
        <x:v>NP03</x:v>
      </x:c>
      <x:c r="Q49" s="19" t="str">
        <x:v>P03_R1_Manual_NP03-B_COMPLETED_v0.8.0.xlsx</x:v>
      </x:c>
    </x:row>
    <x:row r="50">
      <x:c r="A50" s="21" t="str">
        <x:v>P03</x:v>
      </x:c>
      <x:c r="B50" s="21" t="str">
        <x:v>P03</x:v>
      </x:c>
      <x:c r="C50" s="21" t="str">
        <x:v>Manual</x:v>
      </x:c>
      <x:c r="D50" s="21" t="str">
        <x:v>NP03-B</x:v>
      </x:c>
      <x:c r="E50" s="21" t="str">
        <x:v>Item</x:v>
      </x:c>
      <x:c r="F50" s="21" t="str">
        <x:v>NP03-B-E6</x:v>
      </x:c>
      <x:c r="G50" s="21" t="str">
        <x:v>adoption_condition</x:v>
      </x:c>
      <x:c r="H50" s="21" t="str">
        <x:v>Edit and flag partial</x:v>
      </x:c>
      <x:c r="I50" s="21" t="str">
        <x:v>expected effect on future use</x:v>
      </x:c>
      <x:c r="J50" s="21" t="str">
        <x:v>Edit and flag partial</x:v>
      </x:c>
      <x:c r="K50" s="21" t="str">
        <x:v>Expected-effect gap</x:v>
      </x:c>
      <x:c r="L50" s="26" t="n">
        <x:v>1</x:v>
      </x:c>
      <x:c r="M50" s="21" t="str"/>
      <x:c r="N50" s="21" t="str">
        <x:v>B-M12 supports the requested change; B-M14 explicitly leaves its effect on future use unverified.</x:v>
      </x:c>
      <x:c r="O50" s="21" t="n">
        <x:v>1</x:v>
      </x:c>
      <x:c r="P50" s="21" t="str">
        <x:v>NP03</x:v>
      </x:c>
      <x:c r="Q50" s="21" t="str">
        <x:v>P03_R1_Manual_NP03-B_COMPLETED_v0.8.0.xlsx</x:v>
      </x:c>
    </x:row>
    <x:row r="51">
      <x:c r="A51" s="19" t="str">
        <x:v>P03</x:v>
      </x:c>
      <x:c r="B51" s="19" t="str">
        <x:v>P03</x:v>
      </x:c>
      <x:c r="C51" s="19" t="str">
        <x:v>Manual</x:v>
      </x:c>
      <x:c r="D51" s="19" t="str">
        <x:v>NP03-B</x:v>
      </x:c>
      <x:c r="E51" s="19" t="str">
        <x:v>Topic</x:v>
      </x:c>
      <x:c r="F51" s="19" t="str">
        <x:v>NP03-B:adoption_condition</x:v>
      </x:c>
      <x:c r="G51" s="19" t="str">
        <x:v>adoption_condition</x:v>
      </x:c>
      <x:c r="H51" s="19" t="str">
        <x:v>partially_answered</x:v>
      </x:c>
      <x:c r="I51" s="19" t="str">
        <x:v>expected effect on future use</x:v>
      </x:c>
      <x:c r="J51" s="19" t="str">
        <x:v>partially_answered</x:v>
      </x:c>
      <x:c r="K51" s="19" t="str">
        <x:v>expected effect on future use</x:v>
      </x:c>
      <x:c r="L51" s="26" t="n">
        <x:v>1</x:v>
      </x:c>
      <x:c r="M51" s="19" t="str"/>
      <x:c r="N51" s="19" t="str">
        <x:v>B-M12 states the preferred label change; B-M14 says its effect on future use is not yet known.</x:v>
      </x:c>
      <x:c r="O51" s="19" t="n">
        <x:v>1</x:v>
      </x:c>
      <x:c r="P51" s="19" t="str">
        <x:v>NP03</x:v>
      </x:c>
      <x:c r="Q51" s="19" t="str">
        <x:v>P03_R1_Manual_NP03-B_COMPLETED_v0.8.0.xlsx</x:v>
      </x:c>
    </x:row>
    <x:row r="52">
      <x:c r="A52" s="21" t="str">
        <x:v>P03</x:v>
      </x:c>
      <x:c r="B52" s="21" t="str">
        <x:v>P03</x:v>
      </x:c>
      <x:c r="C52" s="21" t="str">
        <x:v>Manual</x:v>
      </x:c>
      <x:c r="D52" s="21" t="str">
        <x:v>NP03-B</x:v>
      </x:c>
      <x:c r="E52" s="21" t="str">
        <x:v>Topic</x:v>
      </x:c>
      <x:c r="F52" s="21" t="str">
        <x:v>NP03-B:friction_enabler</x:v>
      </x:c>
      <x:c r="G52" s="21" t="str">
        <x:v>friction_enabler</x:v>
      </x:c>
      <x:c r="H52" s="21" t="str">
        <x:v>fully_answered</x:v>
      </x:c>
      <x:c r="I52" s="21" t="str"/>
      <x:c r="J52" s="21" t="str">
        <x:v>fully_answered</x:v>
      </x:c>
      <x:c r="K52" s="21" t="str"/>
      <x:c r="L52" s="26" t="n">
        <x:v>1</x:v>
      </x:c>
      <x:c r="M52" s="21" t="str"/>
      <x:c r="N52" s="21" t="str">
        <x:v>B-M08 identifies the covered labels; B-M10 records the icon comparison and the extra time required.</x:v>
      </x:c>
      <x:c r="O52" s="21" t="n">
        <x:v>1</x:v>
      </x:c>
      <x:c r="P52" s="21" t="str">
        <x:v>NP03</x:v>
      </x:c>
      <x:c r="Q52" s="21" t="str">
        <x:v>P03_R1_Manual_NP03-B_COMPLETED_v0.8.0.xlsx</x:v>
      </x:c>
    </x:row>
    <x:row r="53">
      <x:c r="A53" s="19" t="str">
        <x:v>P03</x:v>
      </x:c>
      <x:c r="B53" s="19" t="str">
        <x:v>P03</x:v>
      </x:c>
      <x:c r="C53" s="19" t="str">
        <x:v>Manual</x:v>
      </x:c>
      <x:c r="D53" s="19" t="str">
        <x:v>NP03-B</x:v>
      </x:c>
      <x:c r="E53" s="19" t="str">
        <x:v>Topic</x:v>
      </x:c>
      <x:c r="F53" s="19" t="str">
        <x:v>NP03-B:return_process</x:v>
      </x:c>
      <x:c r="G53" s="19" t="str">
        <x:v>return_process</x:v>
      </x:c>
      <x:c r="H53" s="19" t="str">
        <x:v>fully_answered</x:v>
      </x:c>
      <x:c r="I53" s="19" t="str"/>
      <x:c r="J53" s="19" t="str">
        <x:v>fully_answered</x:v>
      </x:c>
      <x:c r="K53" s="19" t="str"/>
      <x:c r="L53" s="26" t="n">
        <x:v>1</x:v>
      </x:c>
      <x:c r="M53" s="19" t="str"/>
      <x:c r="N53" s="19" t="str">
        <x:v>B-M04 records the scan; B-M06 gives the cabinet steps, receipt confirmation and first-attempt completion.</x:v>
      </x:c>
      <x:c r="O53" s="19" t="n">
        <x:v>1</x:v>
      </x:c>
      <x:c r="P53" s="19" t="str">
        <x:v>NP03</x:v>
      </x:c>
      <x:c r="Q53" s="19" t="str">
        <x:v>P03_R1_Manual_NP03-B_COMPLETED_v0.8.0.xlsx</x:v>
      </x:c>
    </x:row>
    <x:row r="54">
      <x:c r="A54" s="21" t="str">
        <x:v>P03</x:v>
      </x:c>
      <x:c r="B54" s="21" t="str">
        <x:v>P03</x:v>
      </x:c>
      <x:c r="C54" s="21" t="str">
        <x:v>Manual</x:v>
      </x:c>
      <x:c r="D54" s="21" t="str">
        <x:v>NP03-B</x:v>
      </x:c>
      <x:c r="E54" s="21" t="str">
        <x:v>Topic</x:v>
      </x:c>
      <x:c r="F54" s="21" t="str">
        <x:v>NP03-B:use_context</x:v>
      </x:c>
      <x:c r="G54" s="21" t="str">
        <x:v>use_context</x:v>
      </x:c>
      <x:c r="H54" s="21" t="str">
        <x:v>fully_answered</x:v>
      </x:c>
      <x:c r="I54" s="21" t="str"/>
      <x:c r="J54" s="21" t="str">
        <x:v>fully_answered</x:v>
      </x:c>
      <x:c r="K54" s="21" t="str"/>
      <x:c r="L54" s="26" t="n">
        <x:v>1</x:v>
      </x:c>
      <x:c r="M54" s="21" t="str"/>
      <x:c r="N54" s="21" t="str">
        <x:v>B-M02 identifies the office food hall, takeaway lunch, no extra charge and lobby collection cabinet.</x:v>
      </x:c>
      <x:c r="O54" s="21" t="n">
        <x:v>1</x:v>
      </x:c>
      <x:c r="P54" s="21" t="str">
        <x:v>NP03</x:v>
      </x:c>
      <x:c r="Q54" s="21" t="str">
        <x:v>P03_R1_Manual_NP03-B_COMPLETED_v0.8.0.xlsx</x:v>
      </x:c>
    </x:row>
    <x:row r="55">
      <x:c r="A55" s="19" t="str">
        <x:v>P03</x:v>
      </x:c>
      <x:c r="B55" s="19" t="str">
        <x:v>P03</x:v>
      </x:c>
      <x:c r="C55" s="19" t="str">
        <x:v>Prototype</x:v>
      </x:c>
      <x:c r="D55" s="19" t="str">
        <x:v>NP03-A</x:v>
      </x:c>
      <x:c r="E55" s="19" t="str">
        <x:v>Item</x:v>
      </x:c>
      <x:c r="F55" s="19" t="str">
        <x:v>NP03-A-E1</x:v>
      </x:c>
      <x:c r="G55" s="19" t="str">
        <x:v>use_context</x:v>
      </x:c>
      <x:c r="H55" s="19" t="str">
        <x:v>Include</x:v>
      </x:c>
      <x:c r="I55" s="19" t="str"/>
      <x:c r="J55" s="19" t="str">
        <x:v>Include</x:v>
      </x:c>
      <x:c r="K55" s="19" t="str"/>
      <x:c r="L55" s="26" t="n">
        <x:v>1</x:v>
      </x:c>
      <x:c r="M55" s="19" t="str"/>
      <x:c r="N55" s="19" t="str">
        <x:v>Final reviewed HTML record</x:v>
      </x:c>
      <x:c r="O55" s="19" t="n">
        <x:v>2</x:v>
      </x:c>
      <x:c r="P55" s="19" t="str">
        <x:v>NP03</x:v>
      </x:c>
      <x:c r="Q55" s="19" t="str">
        <x:v>P03_R2_Evidence_Record_NP03-A-F06_v0.8.0.html</x:v>
      </x:c>
    </x:row>
    <x:row r="56">
      <x:c r="A56" s="21" t="str">
        <x:v>P03</x:v>
      </x:c>
      <x:c r="B56" s="21" t="str">
        <x:v>P03</x:v>
      </x:c>
      <x:c r="C56" s="21" t="str">
        <x:v>Prototype</x:v>
      </x:c>
      <x:c r="D56" s="21" t="str">
        <x:v>NP03-A</x:v>
      </x:c>
      <x:c r="E56" s="21" t="str">
        <x:v>Item</x:v>
      </x:c>
      <x:c r="F56" s="21" t="str">
        <x:v>NP03-A-E2</x:v>
      </x:c>
      <x:c r="G56" s="21" t="str">
        <x:v>return_process</x:v>
      </x:c>
      <x:c r="H56" s="21" t="str">
        <x:v>Include</x:v>
      </x:c>
      <x:c r="I56" s="21" t="str"/>
      <x:c r="J56" s="21" t="str">
        <x:v>Include</x:v>
      </x:c>
      <x:c r="K56" s="21" t="str"/>
      <x:c r="L56" s="26" t="n">
        <x:v>1</x:v>
      </x:c>
      <x:c r="M56" s="21" t="str"/>
      <x:c r="N56" s="21" t="str">
        <x:v>Final reviewed HTML record</x:v>
      </x:c>
      <x:c r="O56" s="21" t="n">
        <x:v>2</x:v>
      </x:c>
      <x:c r="P56" s="21" t="str">
        <x:v>NP03</x:v>
      </x:c>
      <x:c r="Q56" s="21" t="str">
        <x:v>P03_R2_Evidence_Record_NP03-A-F06_v0.8.0.html</x:v>
      </x:c>
    </x:row>
    <x:row r="57">
      <x:c r="A57" s="19" t="str">
        <x:v>P03</x:v>
      </x:c>
      <x:c r="B57" s="19" t="str">
        <x:v>P03</x:v>
      </x:c>
      <x:c r="C57" s="19" t="str">
        <x:v>Prototype</x:v>
      </x:c>
      <x:c r="D57" s="19" t="str">
        <x:v>NP03-A</x:v>
      </x:c>
      <x:c r="E57" s="19" t="str">
        <x:v>Item</x:v>
      </x:c>
      <x:c r="F57" s="19" t="str">
        <x:v>NP03-A-E3</x:v>
      </x:c>
      <x:c r="G57" s="19" t="str">
        <x:v>friction_enabler</x:v>
      </x:c>
      <x:c r="H57" s="19" t="str">
        <x:v>Edit</x:v>
      </x:c>
      <x:c r="I57" s="19" t="str"/>
      <x:c r="J57" s="19" t="str">
        <x:v>Edit</x:v>
      </x:c>
      <x:c r="K57" s="19" t="str"/>
      <x:c r="L57" s="26" t="n">
        <x:v>1</x:v>
      </x:c>
      <x:c r="M57" s="19" t="str"/>
      <x:c r="N57" s="19" t="str">
        <x:v>Final reviewed HTML record</x:v>
      </x:c>
      <x:c r="O57" s="19" t="n">
        <x:v>2</x:v>
      </x:c>
      <x:c r="P57" s="19" t="str">
        <x:v>NP03</x:v>
      </x:c>
      <x:c r="Q57" s="19" t="str">
        <x:v>P03_R2_Evidence_Record_NP03-A-F06_v0.8.0.html</x:v>
      </x:c>
    </x:row>
    <x:row r="58">
      <x:c r="A58" s="21" t="str">
        <x:v>P03</x:v>
      </x:c>
      <x:c r="B58" s="21" t="str">
        <x:v>P03</x:v>
      </x:c>
      <x:c r="C58" s="21" t="str">
        <x:v>Prototype</x:v>
      </x:c>
      <x:c r="D58" s="21" t="str">
        <x:v>NP03-A</x:v>
      </x:c>
      <x:c r="E58" s="21" t="str">
        <x:v>Item</x:v>
      </x:c>
      <x:c r="F58" s="21" t="str">
        <x:v>NP03-A-E4</x:v>
      </x:c>
      <x:c r="G58" s="21" t="str">
        <x:v>return_process</x:v>
      </x:c>
      <x:c r="H58" s="21" t="str">
        <x:v>Exclude</x:v>
      </x:c>
      <x:c r="I58" s="21" t="str"/>
      <x:c r="J58" s="21" t="str">
        <x:v>Exclude</x:v>
      </x:c>
      <x:c r="K58" s="21" t="str"/>
      <x:c r="L58" s="26" t="n">
        <x:v>1</x:v>
      </x:c>
      <x:c r="M58" s="21" t="str"/>
      <x:c r="N58" s="21" t="str">
        <x:v>No participant response mentions a cash deposit or refund.</x:v>
      </x:c>
      <x:c r="O58" s="21" t="n">
        <x:v>2</x:v>
      </x:c>
      <x:c r="P58" s="21" t="str">
        <x:v>NP03</x:v>
      </x:c>
      <x:c r="Q58" s="21" t="str">
        <x:v>P03_R2_Evidence_Record_NP03-A-F06_v0.8.0.html</x:v>
      </x:c>
    </x:row>
    <x:row r="59">
      <x:c r="A59" s="19" t="str">
        <x:v>P03</x:v>
      </x:c>
      <x:c r="B59" s="19" t="str">
        <x:v>P03</x:v>
      </x:c>
      <x:c r="C59" s="19" t="str">
        <x:v>Prototype</x:v>
      </x:c>
      <x:c r="D59" s="19" t="str">
        <x:v>NP03-A</x:v>
      </x:c>
      <x:c r="E59" s="19" t="str">
        <x:v>Item</x:v>
      </x:c>
      <x:c r="F59" s="19" t="str">
        <x:v>NP03-A-E5</x:v>
      </x:c>
      <x:c r="G59" s="19" t="str">
        <x:v>return_process</x:v>
      </x:c>
      <x:c r="H59" s="19" t="str">
        <x:v>Edit source</x:v>
      </x:c>
      <x:c r="I59" s="19" t="str"/>
      <x:c r="J59" s="19" t="str">
        <x:v>Edit source</x:v>
      </x:c>
      <x:c r="K59" s="19" t="str"/>
      <x:c r="L59" s="26" t="n">
        <x:v>1</x:v>
      </x:c>
      <x:c r="M59" s="19" t="str"/>
      <x:c r="N59" s="19" t="str">
        <x:v>Final reviewed HTML record</x:v>
      </x:c>
      <x:c r="O59" s="19" t="n">
        <x:v>2</x:v>
      </x:c>
      <x:c r="P59" s="19" t="str">
        <x:v>NP03</x:v>
      </x:c>
      <x:c r="Q59" s="19" t="str">
        <x:v>P03_R2_Evidence_Record_NP03-A-F06_v0.8.0.html</x:v>
      </x:c>
    </x:row>
    <x:row r="60">
      <x:c r="A60" s="21" t="str">
        <x:v>P03</x:v>
      </x:c>
      <x:c r="B60" s="21" t="str">
        <x:v>P03</x:v>
      </x:c>
      <x:c r="C60" s="21" t="str">
        <x:v>Prototype</x:v>
      </x:c>
      <x:c r="D60" s="21" t="str">
        <x:v>NP03-A</x:v>
      </x:c>
      <x:c r="E60" s="21" t="str">
        <x:v>Item</x:v>
      </x:c>
      <x:c r="F60" s="21" t="str">
        <x:v>NP03-A-E6</x:v>
      </x:c>
      <x:c r="G60" s="21" t="str">
        <x:v>adoption_condition</x:v>
      </x:c>
      <x:c r="H60" s="21" t="str">
        <x:v>Edit and flag partial</x:v>
      </x:c>
      <x:c r="I60" s="21" t="str">
        <x:v>Future-use condition has missing Protocol information: whether the receipt would make the participant use the scheme again.</x:v>
      </x:c>
      <x:c r="J60" s="21" t="str">
        <x:v>Edit and flag partial</x:v>
      </x:c>
      <x:c r="K60" s="21" t="str">
        <x:v>Expected-effect gap</x:v>
      </x:c>
      <x:c r="L60" s="26" t="n">
        <x:v>1</x:v>
      </x:c>
      <x:c r="M60" s="21" t="str"/>
      <x:c r="N60" s="21" t="str">
        <x:v>Final reviewed HTML record</x:v>
      </x:c>
      <x:c r="O60" s="21" t="n">
        <x:v>2</x:v>
      </x:c>
      <x:c r="P60" s="21" t="str">
        <x:v>NP03</x:v>
      </x:c>
      <x:c r="Q60" s="21" t="str">
        <x:v>P03_R2_Evidence_Record_NP03-A-F06_v0.8.0.html</x:v>
      </x:c>
    </x:row>
    <x:row r="61">
      <x:c r="A61" s="19" t="str">
        <x:v>P03</x:v>
      </x:c>
      <x:c r="B61" s="19" t="str">
        <x:v>P03</x:v>
      </x:c>
      <x:c r="C61" s="19" t="str">
        <x:v>Prototype</x:v>
      </x:c>
      <x:c r="D61" s="19" t="str">
        <x:v>NP03-A</x:v>
      </x:c>
      <x:c r="E61" s="19" t="str">
        <x:v>Topic</x:v>
      </x:c>
      <x:c r="F61" s="19" t="str">
        <x:v>NP03-A:adoption_condition</x:v>
      </x:c>
      <x:c r="G61" s="19" t="str">
        <x:v>adoption_condition</x:v>
      </x:c>
      <x:c r="H61" s="19" t="str">
        <x:v>partially_answered</x:v>
      </x:c>
      <x:c r="I61" s="19" t="str">
        <x:v>Future-use condition has missing Protocol information: whether the receipt would make the participant use the scheme again.</x:v>
      </x:c>
      <x:c r="J61" s="19" t="str">
        <x:v>partially_answered</x:v>
      </x:c>
      <x:c r="K61" s="19" t="str">
        <x:v>expected effect on future use</x:v>
      </x:c>
      <x:c r="L61" s="26" t="n">
        <x:v>1</x:v>
      </x:c>
      <x:c r="M61" s="19" t="str"/>
      <x:c r="N61" s="19" t="str">
        <x:v>Coverage shown in final reviewed HTML record</x:v>
      </x:c>
      <x:c r="O61" s="19" t="n">
        <x:v>2</x:v>
      </x:c>
      <x:c r="P61" s="19" t="str">
        <x:v>NP03</x:v>
      </x:c>
      <x:c r="Q61" s="19" t="str">
        <x:v>P03_R2_Evidence_Record_NP03-A-F06_v0.8.0.html</x:v>
      </x:c>
    </x:row>
    <x:row r="62">
      <x:c r="A62" s="21" t="str">
        <x:v>P03</x:v>
      </x:c>
      <x:c r="B62" s="21" t="str">
        <x:v>P03</x:v>
      </x:c>
      <x:c r="C62" s="21" t="str">
        <x:v>Prototype</x:v>
      </x:c>
      <x:c r="D62" s="21" t="str">
        <x:v>NP03-A</x:v>
      </x:c>
      <x:c r="E62" s="21" t="str">
        <x:v>Topic</x:v>
      </x:c>
      <x:c r="F62" s="21" t="str">
        <x:v>NP03-A:friction_enabler</x:v>
      </x:c>
      <x:c r="G62" s="21" t="str">
        <x:v>friction_enabler</x:v>
      </x:c>
      <x:c r="H62" s="21" t="str">
        <x:v>fully_answered</x:v>
      </x:c>
      <x:c r="I62" s="21" t="str"/>
      <x:c r="J62" s="21" t="str">
        <x:v>fully_answered</x:v>
      </x:c>
      <x:c r="K62" s="21" t="str"/>
      <x:c r="L62" s="26" t="n">
        <x:v>1</x:v>
      </x:c>
      <x:c r="M62" s="21" t="str"/>
      <x:c r="N62" s="21" t="str">
        <x:v>Coverage shown in final reviewed HTML record</x:v>
      </x:c>
      <x:c r="O62" s="21" t="n">
        <x:v>2</x:v>
      </x:c>
      <x:c r="P62" s="21" t="str">
        <x:v>NP03</x:v>
      </x:c>
      <x:c r="Q62" s="21" t="str">
        <x:v>P03_R2_Evidence_Record_NP03-A-F06_v0.8.0.html</x:v>
      </x:c>
    </x:row>
    <x:row r="63">
      <x:c r="A63" s="19" t="str">
        <x:v>P03</x:v>
      </x:c>
      <x:c r="B63" s="19" t="str">
        <x:v>P03</x:v>
      </x:c>
      <x:c r="C63" s="19" t="str">
        <x:v>Prototype</x:v>
      </x:c>
      <x:c r="D63" s="19" t="str">
        <x:v>NP03-A</x:v>
      </x:c>
      <x:c r="E63" s="19" t="str">
        <x:v>Topic</x:v>
      </x:c>
      <x:c r="F63" s="19" t="str">
        <x:v>NP03-A:return_process</x:v>
      </x:c>
      <x:c r="G63" s="19" t="str">
        <x:v>return_process</x:v>
      </x:c>
      <x:c r="H63" s="19" t="str">
        <x:v>fully_answered</x:v>
      </x:c>
      <x:c r="I63" s="19" t="str"/>
      <x:c r="J63" s="19" t="str">
        <x:v>fully_answered</x:v>
      </x:c>
      <x:c r="K63" s="19" t="str"/>
      <x:c r="L63" s="26" t="n">
        <x:v>1</x:v>
      </x:c>
      <x:c r="M63" s="19" t="str"/>
      <x:c r="N63" s="19" t="str">
        <x:v>Coverage shown in final reviewed HTML record</x:v>
      </x:c>
      <x:c r="O63" s="19" t="n">
        <x:v>2</x:v>
      </x:c>
      <x:c r="P63" s="19" t="str">
        <x:v>NP03</x:v>
      </x:c>
      <x:c r="Q63" s="19" t="str">
        <x:v>P03_R2_Evidence_Record_NP03-A-F06_v0.8.0.html</x:v>
      </x:c>
    </x:row>
    <x:row r="64">
      <x:c r="A64" s="22" t="str">
        <x:v>P03</x:v>
      </x:c>
      <x:c r="B64" s="22" t="str">
        <x:v>P03</x:v>
      </x:c>
      <x:c r="C64" s="22" t="str">
        <x:v>Prototype</x:v>
      </x:c>
      <x:c r="D64" s="22" t="str">
        <x:v>NP03-A</x:v>
      </x:c>
      <x:c r="E64" s="22" t="str">
        <x:v>Topic</x:v>
      </x:c>
      <x:c r="F64" s="22" t="str">
        <x:v>NP03-A:use_context</x:v>
      </x:c>
      <x:c r="G64" s="22" t="str">
        <x:v>use_context</x:v>
      </x:c>
      <x:c r="H64" s="22" t="str">
        <x:v>fully_answered</x:v>
      </x:c>
      <x:c r="I64" s="22" t="str"/>
      <x:c r="J64" s="22" t="str">
        <x:v>fully_answered</x:v>
      </x:c>
      <x:c r="K64" s="22" t="str"/>
      <x:c r="L64" s="28" t="n">
        <x:v>1</x:v>
      </x:c>
      <x:c r="M64" s="22" t="str"/>
      <x:c r="N64" s="22" t="str">
        <x:v>Coverage shown in final reviewed HTML record</x:v>
      </x:c>
      <x:c r="O64" s="22" t="n">
        <x:v>2</x:v>
      </x:c>
      <x:c r="P64" s="22" t="str">
        <x:v>NP03</x:v>
      </x:c>
      <x:c r="Q64" s="22" t="str">
        <x:v>P03_R2_Evidence_Record_NP03-A-F06_v0.8.0.html</x:v>
      </x:c>
    </x:row>
  </x:sheetData>
  <x:mergeCells>
    <x:mergeCell ref="A1:Q1"/>
    <x:mergeCell ref="A2:Q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4" hidden="0" customWidth="1"/>
    <x:col min="4" max="4" width="1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8" hidden="0" customWidth="1"/>
    <x:col min="12" max="12" width="18" hidden="0" customWidth="1"/>
  </x:cols>
  <x:sheetData>
    <x:row r="1" ht="30" customHeight="1">
      <x:c r="A1" s="3" t="str">
        <x:v>条件后量表 / Post-condition Ratings</x:v>
      </x:c>
      <x:c r="B1" s="3"/>
      <x:c r="C1" s="3"/>
      <x:c r="D1" s="3"/>
      <x:c r="E1" s="3"/>
      <x:c r="F1" s="3"/>
      <x:c r="G1" s="3"/>
      <x:c r="H1" s="3"/>
      <x:c r="I1" s="3"/>
      <x:c r="J1" s="3"/>
      <x:c r="K1" s="3"/>
      <x:c r="L1" s="3"/>
    </x:row>
    <x:row r="2" ht="34" customHeight="1">
      <x:c r="A2" s="7" t="str">
        <x:v>PC3–PC7越高越好；PC8 mental effort越低越好。全部为1–7量表。</x:v>
      </x:c>
      <x:c r="B2" s="7"/>
      <x:c r="C2" s="7"/>
      <x:c r="D2" s="7"/>
      <x:c r="E2" s="7"/>
      <x:c r="F2" s="7"/>
      <x:c r="G2" s="7"/>
      <x:c r="H2" s="7"/>
      <x:c r="I2" s="7"/>
      <x:c r="J2" s="7"/>
      <x:c r="K2" s="7"/>
      <x:c r="L2" s="7"/>
    </x:row>
    <x:row r="4" ht="30" customHeight="1">
      <x:c r="A4" s="14" t="str">
        <x:v>Participant</x:v>
      </x:c>
      <x:c r="B4" s="14" t="str">
        <x:v>Name</x:v>
      </x:c>
      <x:c r="C4" s="14" t="str">
        <x:v>Condition</x:v>
      </x:c>
      <x:c r="D4" s="14" t="str">
        <x:v>Case</x:v>
      </x:c>
      <x:c r="E4" s="14" t="str">
        <x:v>PC3 Ease</x:v>
      </x:c>
      <x:c r="F4" s="14" t="str">
        <x:v>PC4 Confidence</x:v>
      </x:c>
      <x:c r="G4" s="14" t="str">
        <x:v>PC5 Source ease</x:v>
      </x:c>
      <x:c r="H4" s="14" t="str">
        <x:v>PC6 Missingness clarity</x:v>
      </x:c>
      <x:c r="I4" s="14" t="str">
        <x:v>PC7 Record confidence</x:v>
      </x:c>
      <x:c r="J4" s="14" t="str">
        <x:v>PC8 Mental effort</x:v>
      </x:c>
      <x:c r="K4" s="14" t="str">
        <x:v>PC1 Complete</x:v>
      </x:c>
      <x:c r="L4" s="14" t="str">
        <x:v>PC9 Technical issue</x:v>
      </x:c>
    </x:row>
    <x:row r="5">
      <x:c r="A5" s="19" t="str">
        <x:v>P01</x:v>
      </x:c>
      <x:c r="B5" s="19" t="str">
        <x:v>P01</x:v>
      </x:c>
      <x:c r="C5" s="19" t="str">
        <x:v>Manual</x:v>
      </x:c>
      <x:c r="D5" s="19" t="str">
        <x:v>NP01-A</x:v>
      </x:c>
      <x:c r="E5" s="19" t="n">
        <x:v>4</x:v>
      </x:c>
      <x:c r="F5" s="19" t="n">
        <x:v>5</x:v>
      </x:c>
      <x:c r="G5" s="19" t="n">
        <x:v>4</x:v>
      </x:c>
      <x:c r="H5" s="19" t="n">
        <x:v>5</x:v>
      </x:c>
      <x:c r="I5" s="19" t="n">
        <x:v>5</x:v>
      </x:c>
      <x:c r="J5" s="19" t="n">
        <x:v>5</x:v>
      </x:c>
      <x:c r="K5" s="19" t="str">
        <x:v>Yes</x:v>
      </x:c>
      <x:c r="L5" s="19" t="str">
        <x:v>No</x:v>
      </x:c>
    </x:row>
    <x:row r="6">
      <x:c r="A6" s="21" t="str">
        <x:v>P01</x:v>
      </x:c>
      <x:c r="B6" s="21" t="str">
        <x:v>P01</x:v>
      </x:c>
      <x:c r="C6" s="21" t="str">
        <x:v>Prototype</x:v>
      </x:c>
      <x:c r="D6" s="21" t="str">
        <x:v>NP01-B</x:v>
      </x:c>
      <x:c r="E6" s="21" t="n">
        <x:v>6</x:v>
      </x:c>
      <x:c r="F6" s="21" t="n">
        <x:v>6</x:v>
      </x:c>
      <x:c r="G6" s="21" t="n">
        <x:v>6</x:v>
      </x:c>
      <x:c r="H6" s="21" t="n">
        <x:v>6</x:v>
      </x:c>
      <x:c r="I6" s="21" t="n">
        <x:v>6</x:v>
      </x:c>
      <x:c r="J6" s="21" t="n">
        <x:v>4</x:v>
      </x:c>
      <x:c r="K6" s="21" t="str">
        <x:v>Yes</x:v>
      </x:c>
      <x:c r="L6" s="21" t="str">
        <x:v>No</x:v>
      </x:c>
    </x:row>
    <x:row r="7">
      <x:c r="A7" s="19" t="str">
        <x:v>P02</x:v>
      </x:c>
      <x:c r="B7" s="19" t="str">
        <x:v>P02</x:v>
      </x:c>
      <x:c r="C7" s="19" t="str">
        <x:v>Prototype</x:v>
      </x:c>
      <x:c r="D7" s="19" t="str">
        <x:v>NP02-A</x:v>
      </x:c>
      <x:c r="E7" s="19" t="n">
        <x:v>5</x:v>
      </x:c>
      <x:c r="F7" s="19" t="n">
        <x:v>6</x:v>
      </x:c>
      <x:c r="G7" s="19" t="n">
        <x:v>5</x:v>
      </x:c>
      <x:c r="H7" s="19" t="n">
        <x:v>6</x:v>
      </x:c>
      <x:c r="I7" s="19" t="n">
        <x:v>6</x:v>
      </x:c>
      <x:c r="J7" s="19" t="n">
        <x:v>5</x:v>
      </x:c>
      <x:c r="K7" s="19" t="str">
        <x:v>Yes</x:v>
      </x:c>
      <x:c r="L7" s="19" t="str">
        <x:v>No</x:v>
      </x:c>
    </x:row>
    <x:row r="8">
      <x:c r="A8" s="21" t="str">
        <x:v>P02</x:v>
      </x:c>
      <x:c r="B8" s="21" t="str">
        <x:v>P02</x:v>
      </x:c>
      <x:c r="C8" s="21" t="str">
        <x:v>Manual</x:v>
      </x:c>
      <x:c r="D8" s="21" t="str">
        <x:v>NP02-B</x:v>
      </x:c>
      <x:c r="E8" s="21" t="n">
        <x:v>4</x:v>
      </x:c>
      <x:c r="F8" s="21" t="n">
        <x:v>5</x:v>
      </x:c>
      <x:c r="G8" s="21" t="n">
        <x:v>4</x:v>
      </x:c>
      <x:c r="H8" s="21" t="n">
        <x:v>5</x:v>
      </x:c>
      <x:c r="I8" s="21" t="n">
        <x:v>5</x:v>
      </x:c>
      <x:c r="J8" s="21" t="n">
        <x:v>6</x:v>
      </x:c>
      <x:c r="K8" s="21" t="str">
        <x:v>Yes</x:v>
      </x:c>
      <x:c r="L8" s="21" t="str">
        <x:v>No</x:v>
      </x:c>
    </x:row>
    <x:row r="9">
      <x:c r="A9" s="19" t="str">
        <x:v>P03</x:v>
      </x:c>
      <x:c r="B9" s="19" t="str">
        <x:v>P03</x:v>
      </x:c>
      <x:c r="C9" s="19" t="str">
        <x:v>Manual</x:v>
      </x:c>
      <x:c r="D9" s="19" t="str">
        <x:v>NP03-B</x:v>
      </x:c>
      <x:c r="E9" s="19" t="n">
        <x:v>5</x:v>
      </x:c>
      <x:c r="F9" s="19" t="n">
        <x:v>5</x:v>
      </x:c>
      <x:c r="G9" s="19" t="n">
        <x:v>6</x:v>
      </x:c>
      <x:c r="H9" s="19" t="n">
        <x:v>4</x:v>
      </x:c>
      <x:c r="I9" s="19" t="n">
        <x:v>6</x:v>
      </x:c>
      <x:c r="J9" s="19" t="n">
        <x:v>6</x:v>
      </x:c>
      <x:c r="K9" s="19" t="str">
        <x:v>Yes</x:v>
      </x:c>
      <x:c r="L9" s="19" t="str">
        <x:v>No</x:v>
      </x:c>
    </x:row>
    <x:row r="10">
      <x:c r="A10" s="22" t="str">
        <x:v>P03</x:v>
      </x:c>
      <x:c r="B10" s="22" t="str">
        <x:v>P03</x:v>
      </x:c>
      <x:c r="C10" s="22" t="str">
        <x:v>Prototype</x:v>
      </x:c>
      <x:c r="D10" s="22" t="str">
        <x:v>NP03-A</x:v>
      </x:c>
      <x:c r="E10" s="22" t="n">
        <x:v>5</x:v>
      </x:c>
      <x:c r="F10" s="22" t="n">
        <x:v>5</x:v>
      </x:c>
      <x:c r="G10" s="22" t="n">
        <x:v>6</x:v>
      </x:c>
      <x:c r="H10" s="22" t="n">
        <x:v>5</x:v>
      </x:c>
      <x:c r="I10" s="22" t="n">
        <x:v>6</x:v>
      </x:c>
      <x:c r="J10" s="22" t="n">
        <x:v>5</x:v>
      </x:c>
      <x:c r="K10" s="22" t="str">
        <x:v>Yes</x:v>
      </x:c>
      <x:c r="L10" s="22" t="str">
        <x:v>No</x:v>
      </x:c>
    </x:row>
    <x:row r="12" ht="24" customHeight="1">
      <x:c r="A12" s="9" t="str">
        <x:v>描述性中位数 / Descriptive medians</x:v>
      </x:c>
      <x:c r="B12" s="9"/>
      <x:c r="C12" s="9"/>
      <x:c r="D12" s="9"/>
      <x:c r="E12" s="9"/>
      <x:c r="F12" s="9"/>
      <x:c r="G12" s="9"/>
      <x:c r="H12" s="9"/>
      <x:c r="I12" s="9"/>
      <x:c r="J12" s="9"/>
      <x:c r="K12" s="9"/>
      <x:c r="L12" s="9"/>
    </x:row>
    <x:row r="13" ht="30" customHeight="1">
      <x:c r="A13" s="14" t="str">
        <x:v>Metric</x:v>
      </x:c>
      <x:c r="B13" s="14" t="str">
        <x:v>Manual median</x:v>
      </x:c>
      <x:c r="C13" s="14" t="str">
        <x:v>Prototype median</x:v>
      </x:c>
    </x:row>
    <x:row r="14">
      <x:c r="A14" s="19" t="str">
        <x:v>PC3 Ease</x:v>
      </x:c>
      <x:c r="B14" s="19" t="n">
        <x:f>MEDIAN(E5,E8,E9)</x:f>
        <x:v>4</x:v>
      </x:c>
      <x:c r="C14" s="19" t="n">
        <x:f>MEDIAN(E6,E7,E10)</x:f>
        <x:v>5</x:v>
      </x:c>
    </x:row>
    <x:row r="15">
      <x:c r="A15" s="21" t="str">
        <x:v>PC4 Confidence</x:v>
      </x:c>
      <x:c r="B15" s="21" t="n">
        <x:f>MEDIAN(F5,F8,F9)</x:f>
        <x:v>5</x:v>
      </x:c>
      <x:c r="C15" s="21" t="n">
        <x:f>MEDIAN(F6,F7,F10)</x:f>
        <x:v>6</x:v>
      </x:c>
    </x:row>
    <x:row r="16">
      <x:c r="A16" s="19" t="str">
        <x:v>PC5 Source ease</x:v>
      </x:c>
      <x:c r="B16" s="19" t="n">
        <x:f>MEDIAN(G5,G8,G9)</x:f>
        <x:v>4</x:v>
      </x:c>
      <x:c r="C16" s="19" t="n">
        <x:f>MEDIAN(G6,G7,G10)</x:f>
        <x:v>6</x:v>
      </x:c>
    </x:row>
    <x:row r="17">
      <x:c r="A17" s="21" t="str">
        <x:v>PC6 Missingness clarity</x:v>
      </x:c>
      <x:c r="B17" s="21" t="n">
        <x:f>MEDIAN(H5,H8,H9)</x:f>
        <x:v>5</x:v>
      </x:c>
      <x:c r="C17" s="21" t="n">
        <x:f>MEDIAN(H6,H7,H10)</x:f>
        <x:v>6</x:v>
      </x:c>
    </x:row>
    <x:row r="18">
      <x:c r="A18" s="19" t="str">
        <x:v>PC7 Record confidence</x:v>
      </x:c>
      <x:c r="B18" s="19" t="n">
        <x:f>MEDIAN(I5,I8,I9)</x:f>
        <x:v>5</x:v>
      </x:c>
      <x:c r="C18" s="19" t="n">
        <x:f>MEDIAN(I6,I7,I10)</x:f>
        <x:v>6</x:v>
      </x:c>
    </x:row>
    <x:row r="19">
      <x:c r="A19" s="22" t="str">
        <x:v>PC8 Mental effort</x:v>
      </x:c>
      <x:c r="B19" s="22" t="n">
        <x:f>MEDIAN(J5,J8,J9)</x:f>
        <x:v>6</x:v>
      </x:c>
      <x:c r="C19" s="22" t="n">
        <x:f>MEDIAN(J6,J7,J10)</x:f>
        <x:v>5</x:v>
      </x:c>
    </x:row>
  </x:sheetData>
  <x:mergeCells>
    <x:mergeCell ref="A1:L1"/>
    <x:mergeCell ref="A2:L2"/>
    <x:mergeCell ref="A12:L1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8" hidden="0" customWidth="1"/>
    <x:col min="5" max="5" width="18" hidden="0" customWidth="1"/>
    <x:col min="6" max="6" width="30" hidden="0" customWidth="1"/>
    <x:col min="7" max="7" width="30" hidden="0" customWidth="1"/>
  </x:cols>
  <x:sheetData>
    <x:row r="1" ht="30" customHeight="1">
      <x:c r="A1" s="3" t="str">
        <x:v>客观任务计时 / Objective Active Task Timing</x:v>
      </x:c>
      <x:c r="B1" s="3"/>
      <x:c r="C1" s="3"/>
      <x:c r="D1" s="3"/>
      <x:c r="E1" s="3"/>
      <x:c r="F1" s="3"/>
      <x:c r="G1" s="3"/>
    </x:row>
    <x:row r="2" ht="34" customHeight="1">
      <x:c r="A2" s="7" t="str">
        <x:v>PC11记录六次条件任务的客观active review time；不含说明、休息和问卷。仅作n=3描述性比较。</x:v>
      </x:c>
      <x:c r="B2" s="7"/>
      <x:c r="C2" s="7"/>
      <x:c r="D2" s="7"/>
      <x:c r="E2" s="7"/>
      <x:c r="F2" s="7"/>
      <x:c r="G2" s="7"/>
    </x:row>
    <x:row r="4" ht="30" customHeight="1">
      <x:c r="A4" s="14" t="str">
        <x:v>Participant</x:v>
      </x:c>
      <x:c r="B4" s="14" t="str">
        <x:v>Name</x:v>
      </x:c>
      <x:c r="C4" s="14" t="str">
        <x:v>Manual min</x:v>
      </x:c>
      <x:c r="D4" s="14" t="str">
        <x:v>Prototype min</x:v>
      </x:c>
      <x:c r="E4" s="14" t="str">
        <x:v>Manual − Prototype</x:v>
      </x:c>
      <x:c r="F4" s="14" t="str">
        <x:v>Measure</x:v>
      </x:c>
      <x:c r="G4" s="14" t="str">
        <x:v>Analysis rule</x:v>
      </x:c>
    </x:row>
    <x:row r="5">
      <x:c r="A5" s="19" t="str">
        <x:v>P01</x:v>
      </x:c>
      <x:c r="B5" s="19" t="str">
        <x:v>P01</x:v>
      </x:c>
      <x:c r="C5" s="19" t="n">
        <x:v>16</x:v>
      </x:c>
      <x:c r="D5" s="19" t="n">
        <x:v>13</x:v>
      </x:c>
      <x:c r="E5" s="19" t="n">
        <x:f>C5-D5</x:f>
        <x:v>3</x:v>
      </x:c>
      <x:c r="F5" s="19" t="str">
        <x:v>Objective active-task timing</x:v>
      </x:c>
      <x:c r="G5" s="19" t="str">
        <x:v>Descriptive n=3 comparison</x:v>
      </x:c>
    </x:row>
    <x:row r="6">
      <x:c r="A6" s="21" t="str">
        <x:v>P02</x:v>
      </x:c>
      <x:c r="B6" s="21" t="str">
        <x:v>P02</x:v>
      </x:c>
      <x:c r="C6" s="21" t="n">
        <x:v>24</x:v>
      </x:c>
      <x:c r="D6" s="21" t="n">
        <x:v>19</x:v>
      </x:c>
      <x:c r="E6" s="21" t="n">
        <x:f>C6-D6</x:f>
        <x:v>5</x:v>
      </x:c>
      <x:c r="F6" s="21" t="str">
        <x:v>Objective active-task timing</x:v>
      </x:c>
      <x:c r="G6" s="21" t="str">
        <x:v>Descriptive n=3 comparison</x:v>
      </x:c>
    </x:row>
    <x:row r="7">
      <x:c r="A7" s="20" t="str">
        <x:v>P03</x:v>
      </x:c>
      <x:c r="B7" s="20" t="str">
        <x:v>P03</x:v>
      </x:c>
      <x:c r="C7" s="20" t="n">
        <x:v>21</x:v>
      </x:c>
      <x:c r="D7" s="20" t="n">
        <x:v>20</x:v>
      </x:c>
      <x:c r="E7" s="20" t="n">
        <x:f>C7-D7</x:f>
        <x:v>1</x:v>
      </x:c>
      <x:c r="F7" s="20" t="str">
        <x:v>Objective active-task timing</x:v>
      </x:c>
      <x:c r="G7" s="20" t="str">
        <x:v>Descriptive n=3 comparison</x:v>
      </x:c>
    </x:row>
    <x:row r="9" ht="24" customHeight="1">
      <x:c r="A9" s="9" t="str">
        <x:v>描述统计 / Descriptive statistics</x:v>
      </x:c>
      <x:c r="B9" s="9"/>
      <x:c r="C9" s="9"/>
      <x:c r="D9" s="9"/>
      <x:c r="E9" s="9"/>
      <x:c r="F9" s="9"/>
      <x:c r="G9" s="9"/>
    </x:row>
    <x:row r="10" ht="30" customHeight="1">
      <x:c r="A10" s="14" t="str">
        <x:v>Statistic</x:v>
      </x:c>
      <x:c r="B10" s="14" t="str">
        <x:v>Manual</x:v>
      </x:c>
      <x:c r="C10" s="14" t="str">
        <x:v>Prototype</x:v>
      </x:c>
      <x:c r="D10" s="14" t="str">
        <x:v>Paired difference</x:v>
      </x:c>
    </x:row>
    <x:row r="11">
      <x:c r="A11" s="19" t="str">
        <x:v>Mean</x:v>
      </x:c>
      <x:c r="B11" s="29" t="n">
        <x:f>AVERAGE(C5:C7)</x:f>
        <x:v>20.333333333333332</x:v>
      </x:c>
      <x:c r="C11" s="29" t="n">
        <x:f>AVERAGE(D5:D7)</x:f>
        <x:v>17.333333333333332</x:v>
      </x:c>
      <x:c r="D11" s="29" t="n">
        <x:f>AVERAGE(E5:E7)</x:f>
        <x:v>3</x:v>
      </x:c>
    </x:row>
    <x:row r="12">
      <x:c r="A12" s="21" t="str">
        <x:v>Median</x:v>
      </x:c>
      <x:c r="B12" s="30" t="n">
        <x:f>MEDIAN(C5:C7)</x:f>
        <x:v>21</x:v>
      </x:c>
      <x:c r="C12" s="30" t="n">
        <x:f>MEDIAN(D5:D7)</x:f>
        <x:v>19</x:v>
      </x:c>
      <x:c r="D12" s="30" t="n">
        <x:f>MEDIAN(E5:E7)</x:f>
        <x:v>3</x:v>
      </x:c>
    </x:row>
    <x:row r="13">
      <x:c r="A13" s="19" t="str">
        <x:v>Range min</x:v>
      </x:c>
      <x:c r="B13" s="29" t="n">
        <x:f>MIN(C5:C7)</x:f>
        <x:v>16</x:v>
      </x:c>
      <x:c r="C13" s="29" t="n">
        <x:f>MIN(D5:D7)</x:f>
        <x:v>13</x:v>
      </x:c>
      <x:c r="D13" s="29" t="n">
        <x:f>MIN(E5:E7)</x:f>
        <x:v>1</x:v>
      </x:c>
    </x:row>
    <x:row r="14">
      <x:c r="A14" s="22" t="str">
        <x:v>Range max</x:v>
      </x:c>
      <x:c r="B14" s="31" t="n">
        <x:f>MAX(C5:C7)</x:f>
        <x:v>24</x:v>
      </x:c>
      <x:c r="C14" s="31" t="n">
        <x:f>MAX(D5:D7)</x:f>
        <x:v>20</x:v>
      </x:c>
      <x:c r="D14" s="31" t="n">
        <x:f>MAX(E5:E7)</x:f>
        <x:v>5</x:v>
      </x:c>
    </x:row>
  </x:sheetData>
  <x:mergeCells>
    <x:mergeCell ref="A1:G1"/>
    <x:mergeCell ref="A2:G2"/>
    <x:mergeCell ref="A9:G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6" hidden="0" customWidth="1"/>
    <x:col min="4" max="4" width="44"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 min="11" max="11" width="48" hidden="0" customWidth="1"/>
    <x:col min="12" max="12" width="48" hidden="0" customWidth="1"/>
    <x:col min="13" max="13" width="42" hidden="0" customWidth="1"/>
  </x:cols>
  <x:sheetData>
    <x:row r="1" ht="30" customHeight="1">
      <x:c r="A1" s="3" t="str">
        <x:v>最终比较与采用意愿 / Final Comparison and Adoption</x:v>
      </x:c>
      <x:c r="B1" s="3"/>
      <x:c r="C1" s="3"/>
      <x:c r="D1" s="3"/>
      <x:c r="E1" s="3"/>
      <x:c r="F1" s="3"/>
      <x:c r="G1" s="3"/>
      <x:c r="H1" s="3"/>
      <x:c r="I1" s="3"/>
      <x:c r="J1" s="3"/>
      <x:c r="K1" s="3"/>
      <x:c r="L1" s="3"/>
      <x:c r="M1" s="3"/>
    </x:row>
    <x:row r="2" ht="34" customHeight="1">
      <x:c r="A2" s="7" t="str">
        <x:v>D1–D10均在完成两条件后填写。</x:v>
      </x:c>
      <x:c r="B2" s="7"/>
      <x:c r="C2" s="7"/>
      <x:c r="D2" s="7"/>
      <x:c r="E2" s="7"/>
      <x:c r="F2" s="7"/>
      <x:c r="G2" s="7"/>
      <x:c r="H2" s="7"/>
      <x:c r="I2" s="7"/>
      <x:c r="J2" s="7"/>
      <x:c r="K2" s="7"/>
      <x:c r="L2" s="7"/>
      <x:c r="M2" s="7"/>
    </x:row>
    <x:row r="4" ht="30" customHeight="1">
      <x:c r="A4" s="14" t="str">
        <x:v>Participant</x:v>
      </x:c>
      <x:c r="B4" s="14" t="str">
        <x:v>Name</x:v>
      </x:c>
      <x:c r="C4" s="14" t="str">
        <x:v>D1 Preferred</x:v>
      </x:c>
      <x:c r="D4" s="14" t="str">
        <x:v>D2 Why</x:v>
      </x:c>
      <x:c r="E4" s="14" t="str">
        <x:v>D3 Mode</x:v>
      </x:c>
      <x:c r="F4" s="14" t="str">
        <x:v>D4 Willingness</x:v>
      </x:c>
      <x:c r="G4" s="14" t="str">
        <x:v>D5 Full transcript</x:v>
      </x:c>
      <x:c r="H4" s="14" t="str">
        <x:v>D6 Later-analysis confidence</x:v>
      </x:c>
      <x:c r="I4" s="14" t="str">
        <x:v>D7 Adoption conditions</x:v>
      </x:c>
      <x:c r="J4" s="14" t="str">
        <x:v>D8 Reject/stop</x:v>
      </x:c>
      <x:c r="K4" s="14" t="str">
        <x:v>D9 Change first</x:v>
      </x:c>
      <x:c r="L4" s="14" t="str">
        <x:v>D10 Most value</x:v>
      </x:c>
      <x:c r="M4" s="14" t="str">
        <x:v>Source file</x:v>
      </x:c>
    </x:row>
    <x:row r="5" ht="82" customHeight="1">
      <x:c r="A5" s="19" t="str">
        <x:v>P01</x:v>
      </x:c>
      <x:c r="B5" s="19" t="str">
        <x:v>P01</x:v>
      </x:c>
      <x:c r="C5" s="19" t="str">
        <x:v>Prototype</x:v>
      </x:c>
      <x:c r="D5" s="19" t="str">
        <x:v>My preference was the Prototype. I could see the claim, its source and what I was about to do on the same screen. I still opened the transcript, but I was not constantly moving between sheets.</x:v>
      </x:c>
      <x:c r="E5" s="19" t="str">
        <x:v>Hybrid</x:v>
      </x:c>
      <x:c r="F5" s="19" t="n">
        <x:v>6</x:v>
      </x:c>
      <x:c r="G5" s="19" t="str">
        <x:v>Usually</x:v>
      </x:c>
      <x:c r="H5" s="19" t="n">
        <x:v>6</x:v>
      </x:c>
      <x:c r="I5" s="19" t="str">
        <x:v>I would need the links to land on the right passage every time, and it must stay obvious that the researcher—not the system—makes the final call. I would also want a clear edit trail.</x:v>
      </x:c>
      <x:c r="J5" s="19" t="str">
        <x:v>If I could not get back to the participant's own words, I would not trust it. The same applies if uncertain material starts looking like a finished finding.</x:v>
      </x:c>
      <x:c r="K5" s="19" t="str">
        <x:v>Fix the ordering. The topic groups make sense, but the E numbers should not jump around the page.</x:v>
      </x:c>
      <x:c r="L5" s="19" t="str">
        <x:v>For me it saved the handover step: the extracts I had already checked were gathered into a record I could pass on, instead of being copied out again.</x:v>
      </x:c>
      <x:c r="M5" s="19" t="str">
        <x:v>P01_R2_Response_COMPLETED_v0.8.0.xlsx</x:v>
      </x:c>
    </x:row>
    <x:row r="6" ht="82" customHeight="1">
      <x:c r="A6" s="21" t="str">
        <x:v>P02</x:v>
      </x:c>
      <x:c r="B6" s="21" t="str">
        <x:v>P02</x:v>
      </x:c>
      <x:c r="C6" s="21" t="str">
        <x:v>Prototype</x:v>
      </x:c>
      <x:c r="D6" s="21" t="str">
        <x:v>I favoured the Prototype because incomplete verification remained explicit and prevented closure. Under the spreadsheet condition, reaching the same judgement relied on coordinating several fields distributed across worksheets.</x:v>
      </x:c>
      <x:c r="E6" s="21" t="str">
        <x:v>Hybrid</x:v>
      </x:c>
      <x:c r="F6" s="21" t="n">
        <x:v>5</x:v>
      </x:c>
      <x:c r="G6" s="21" t="str">
        <x:v>Always</x:v>
      </x:c>
      <x:c r="H6" s="21" t="n">
        <x:v>5</x:v>
      </x:c>
      <x:c r="I6" s="21" t="str">
        <x:v>Use in research would require stable references, access to the whole transcript and an intelligible provenance record. Validation should additionally cover messier interview material rather than only controlled examples.</x:v>
      </x:c>
      <x:c r="J6" s="21" t="str">
        <x:v>I would discontinue use if lexical similarity began to stand in for evidential support, or if the design made the wider conversational context less accessible.</x:v>
      </x:c>
      <x:c r="K6" s="21" t="str">
        <x:v>Present the quotation alongside the proposition under review. A failed test should identify the nature of the discrepancy, rather than returning a generic result.</x:v>
      </x:c>
      <x:c r="L6" s="21" t="str">
        <x:v>The approval constraint was the principal benefit: an unresolved attribution issue became visible before the statement entered the reviewed dataset.</x:v>
      </x:c>
      <x:c r="M6" s="21" t="str">
        <x:v>P02_R2_Response_COMPLETED_v0.8.0.xlsx</x:v>
      </x:c>
    </x:row>
    <x:row r="7" ht="82" customHeight="1">
      <x:c r="A7" s="20" t="str">
        <x:v>P03</x:v>
      </x:c>
      <x:c r="B7" s="20" t="str">
        <x:v>P03</x:v>
      </x:c>
      <x:c r="C7" s="20" t="str">
        <x:v>Prototype</x:v>
      </x:c>
      <x:c r="D7" s="20" t="str">
        <x:v>Prototype. It worked as a pre-sign-off control, with one inspection path from assertion to anchor to disposition. The E4/E5 corrections also revealed where operator vigilance is still required.</x:v>
      </x:c>
      <x:c r="E7" s="20" t="str">
        <x:v>Prototype</x:v>
      </x:c>
      <x:c r="F7" s="20" t="n">
        <x:v>6</x:v>
      </x:c>
      <x:c r="G7" s="20" t="str">
        <x:v>Always</x:v>
      </x:c>
      <x:c r="H7" s="20" t="n">
        <x:v>6</x:v>
      </x:c>
      <x:c r="I7" s="20" t="str">
        <x:v>Entry conditions: sample-check source anchors; lock revision history; assign different states to unsupported content and unanswered requirements.</x:v>
      </x:c>
      <x:c r="J7" s="20" t="str">
        <x:v>Stop criterion: approval conceals a prior correction, or topical relevance is allowed to pass as substantiation.</x:v>
      </x:c>
      <x:c r="K7" s="20" t="str">
        <x:v>Create two separate failure labels—'unsupported assertion' and 'coverage gap'—then display the quoted source at the decision point.</x:v>
      </x:c>
      <x:c r="L7" s="20" t="str">
        <x:v>Primary value was the controlled gate before release. The decisive artefact was the correction trail explaining the final treatment of E3 through E6.</x:v>
      </x:c>
      <x:c r="M7" s="20" t="str">
        <x:v>P03_R2_Response_COMPLETED_v0.8.0.xlsx</x:v>
      </x:c>
    </x:row>
  </x:sheetData>
  <x:mergeCells>
    <x:mergeCell ref="A1:M1"/>
    <x:mergeCell ref="A2:M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8" hidden="0" customWidth="1"/>
    <x:col min="4" max="4" width="14" hidden="0" customWidth="1"/>
    <x:col min="5" max="5" width="50" hidden="0" customWidth="1"/>
    <x:col min="6" max="6" width="42" hidden="0" customWidth="1"/>
    <x:col min="7" max="7" width="12" hidden="0" customWidth="1"/>
  </x:cols>
  <x:sheetData>
    <x:row r="1" ht="30" customHeight="1">
      <x:c r="A1" s="3" t="str">
        <x:v>拟使用研究阶段 / Intended Research Stages</x:v>
      </x:c>
      <x:c r="B1" s="3"/>
      <x:c r="C1" s="3"/>
      <x:c r="D1" s="3"/>
      <x:c r="E1" s="3"/>
      <x:c r="F1" s="3"/>
      <x:c r="G1" s="3"/>
    </x:row>
    <x:row r="2" ht="34" customHeight="1">
      <x:c r="A2" s="7" t="str">
        <x:v>上部为三人汇总；下部保留每位Researcher原始选择与理由。</x:v>
      </x:c>
      <x:c r="B2" s="7"/>
      <x:c r="C2" s="7"/>
      <x:c r="D2" s="7"/>
      <x:c r="E2" s="7"/>
      <x:c r="F2" s="7"/>
      <x:c r="G2" s="7"/>
    </x:row>
    <x:row r="4" ht="30" customHeight="1">
      <x:c r="A4" s="14" t="str">
        <x:v>ID</x:v>
      </x:c>
      <x:c r="B4" s="14" t="str">
        <x:v>Stage</x:v>
      </x:c>
      <x:c r="C4" s="14" t="str">
        <x:v>Yes</x:v>
      </x:c>
      <x:c r="D4" s="14" t="str">
        <x:v>N</x:v>
      </x:c>
      <x:c r="E4" s="14" t="str">
        <x:v>Rate</x:v>
      </x:c>
    </x:row>
    <x:row r="5">
      <x:c r="A5" s="19" t="str">
        <x:v>S1</x:v>
      </x:c>
      <x:c r="B5" s="19" t="str">
        <x:v>During data collection / monitoring interview coverage</x:v>
      </x:c>
      <x:c r="C5" s="19" t="n">
        <x:v>1</x:v>
      </x:c>
      <x:c r="D5" s="19" t="n">
        <x:v>3</x:v>
      </x:c>
      <x:c r="E5" s="32" t="n">
        <x:v>0.3333333333333333</x:v>
      </x:c>
    </x:row>
    <x:row r="6">
      <x:c r="A6" s="21" t="str">
        <x:v>S2</x:v>
      </x:c>
      <x:c r="B6" s="21" t="str">
        <x:v>Immediately after an interview</x:v>
      </x:c>
      <x:c r="C6" s="21" t="n">
        <x:v>3</x:v>
      </x:c>
      <x:c r="D6" s="21" t="n">
        <x:v>3</x:v>
      </x:c>
      <x:c r="E6" s="33" t="n">
        <x:v>1</x:v>
      </x:c>
    </x:row>
    <x:row r="7">
      <x:c r="A7" s="19" t="str">
        <x:v>S3</x:v>
      </x:c>
      <x:c r="B7" s="19" t="str">
        <x:v>Initial evidence extraction and familiarisation</x:v>
      </x:c>
      <x:c r="C7" s="19" t="n">
        <x:v>2</x:v>
      </x:c>
      <x:c r="D7" s="19" t="n">
        <x:v>3</x:v>
      </x:c>
      <x:c r="E7" s="32" t="n">
        <x:v>0.6666666666666666</x:v>
      </x:c>
    </x:row>
    <x:row r="8">
      <x:c r="A8" s="21" t="str">
        <x:v>S4</x:v>
      </x:c>
      <x:c r="B8" s="21" t="str">
        <x:v>Focused source verification before coding</x:v>
      </x:c>
      <x:c r="C8" s="21" t="n">
        <x:v>3</x:v>
      </x:c>
      <x:c r="D8" s="21" t="n">
        <x:v>3</x:v>
      </x:c>
      <x:c r="E8" s="33" t="n">
        <x:v>1</x:v>
      </x:c>
    </x:row>
    <x:row r="9">
      <x:c r="A9" s="19" t="str">
        <x:v>S5</x:v>
      </x:c>
      <x:c r="B9" s="19" t="str">
        <x:v>Coding or thematic analysis preparation</x:v>
      </x:c>
      <x:c r="C9" s="19" t="n">
        <x:v>2</x:v>
      </x:c>
      <x:c r="D9" s="19" t="n">
        <x:v>3</x:v>
      </x:c>
      <x:c r="E9" s="32" t="n">
        <x:v>0.6666666666666666</x:v>
      </x:c>
    </x:row>
    <x:row r="10">
      <x:c r="A10" s="21" t="str">
        <x:v>S6</x:v>
      </x:c>
      <x:c r="B10" s="21" t="str">
        <x:v>Reporting, audit or evidence handoff</x:v>
      </x:c>
      <x:c r="C10" s="21" t="n">
        <x:v>3</x:v>
      </x:c>
      <x:c r="D10" s="21" t="n">
        <x:v>3</x:v>
      </x:c>
      <x:c r="E10" s="33" t="n">
        <x:v>1</x:v>
      </x:c>
    </x:row>
    <x:row r="11">
      <x:c r="A11" s="19" t="str">
        <x:v>S7</x:v>
      </x:c>
      <x:c r="B11" s="19" t="str">
        <x:v>I would not use it at any research stage</x:v>
      </x:c>
      <x:c r="C11" s="19" t="n">
        <x:v>0</x:v>
      </x:c>
      <x:c r="D11" s="19" t="n">
        <x:v>3</x:v>
      </x:c>
      <x:c r="E11" s="32" t="n">
        <x:v>0</x:v>
      </x:c>
    </x:row>
    <x:row r="12">
      <x:c r="A12" s="22" t="str">
        <x:v>S8</x:v>
      </x:c>
      <x:c r="B12" s="22" t="str">
        <x:v>Other stage (describe)</x:v>
      </x:c>
      <x:c r="C12" s="22" t="n">
        <x:v>0</x:v>
      </x:c>
      <x:c r="D12" s="22" t="n">
        <x:v>3</x:v>
      </x:c>
      <x:c r="E12" s="34" t="n">
        <x:v>0</x:v>
      </x:c>
    </x:row>
    <x:row r="14" ht="24" customHeight="1">
      <x:c r="A14" s="9" t="str">
        <x:v>逐人原始回答 / Participant-level responses</x:v>
      </x:c>
      <x:c r="B14" s="9"/>
      <x:c r="C14" s="9"/>
      <x:c r="D14" s="9"/>
      <x:c r="E14" s="9"/>
      <x:c r="F14" s="9"/>
      <x:c r="G14" s="9"/>
    </x:row>
    <x:row r="15" ht="30" customHeight="1">
      <x:c r="A15" s="14" t="str">
        <x:v>Participant</x:v>
      </x:c>
      <x:c r="B15" s="14" t="str">
        <x:v>ID</x:v>
      </x:c>
      <x:c r="C15" s="14" t="str">
        <x:v>Stage</x:v>
      </x:c>
      <x:c r="D15" s="14" t="str">
        <x:v>Would use</x:v>
      </x:c>
      <x:c r="E15" s="14" t="str">
        <x:v>Reason</x:v>
      </x:c>
      <x:c r="F15" s="14" t="str">
        <x:v>Source file</x:v>
      </x:c>
    </x:row>
    <x:row r="16">
      <x:c r="A16" s="19" t="str">
        <x:v>P01</x:v>
      </x:c>
      <x:c r="B16" s="19" t="str">
        <x:v>S1</x:v>
      </x:c>
      <x:c r="C16" s="19" t="str">
        <x:v>During data collection / monitoring interview coverage</x:v>
      </x:c>
      <x:c r="D16" s="19" t="str">
        <x:v>No</x:v>
      </x:c>
      <x:c r="E16" s="19" t="str">
        <x:v>Not while I am interviewing. I need to listen, notice hesitation and decide the next question myself.</x:v>
      </x:c>
      <x:c r="F16" s="19" t="str">
        <x:v>P01_R2_Response_COMPLETED_v0.8.0.xlsx</x:v>
      </x:c>
    </x:row>
    <x:row r="17">
      <x:c r="A17" s="21" t="str">
        <x:v>P02</x:v>
      </x:c>
      <x:c r="B17" s="21" t="str">
        <x:v>S1</x:v>
      </x:c>
      <x:c r="C17" s="21" t="str">
        <x:v>During data collection / monitoring interview coverage</x:v>
      </x:c>
      <x:c r="D17" s="21" t="str">
        <x:v>Yes</x:v>
      </x:c>
      <x:c r="E17" s="21" t="str">
        <x:v>There may be value in a non-intrusive coverage cue, provided it neither interprets responses nor redirects the exchange.</x:v>
      </x:c>
      <x:c r="F17" s="21" t="str">
        <x:v>P02_R2_Response_COMPLETED_v0.8.0.xlsx</x:v>
      </x:c>
    </x:row>
    <x:row r="18">
      <x:c r="A18" s="19" t="str">
        <x:v>P03</x:v>
      </x:c>
      <x:c r="B18" s="19" t="str">
        <x:v>S1</x:v>
      </x:c>
      <x:c r="C18" s="19" t="str">
        <x:v>During data collection / monitoring interview coverage</x:v>
      </x:c>
      <x:c r="D18" s="19" t="str">
        <x:v>No</x:v>
      </x:c>
      <x:c r="E18" s="19" t="str">
        <x:v>Exclude from fieldwork; its role begins after capture.</x:v>
      </x:c>
      <x:c r="F18" s="19" t="str">
        <x:v>P03_R2_Response_COMPLETED_v0.8.0.xlsx</x:v>
      </x:c>
    </x:row>
    <x:row r="19">
      <x:c r="A19" s="21" t="str">
        <x:v>P01</x:v>
      </x:c>
      <x:c r="B19" s="21" t="str">
        <x:v>S2</x:v>
      </x:c>
      <x:c r="C19" s="21" t="str">
        <x:v>Immediately after an interview</x:v>
      </x:c>
      <x:c r="D19" s="21" t="str">
        <x:v>Yes</x:v>
      </x:c>
      <x:c r="E19" s="21" t="str">
        <x:v>Good moment for a quick coverage check, before I forget the flow of the conversation.</x:v>
      </x:c>
      <x:c r="F19" s="21" t="str">
        <x:v>P01_R2_Response_COMPLETED_v0.8.0.xlsx</x:v>
      </x:c>
    </x:row>
    <x:row r="20">
      <x:c r="A20" s="19" t="str">
        <x:v>P02</x:v>
      </x:c>
      <x:c r="B20" s="19" t="str">
        <x:v>S2</x:v>
      </x:c>
      <x:c r="C20" s="19" t="str">
        <x:v>Immediately after an interview</x:v>
      </x:c>
      <x:c r="D20" s="19" t="str">
        <x:v>Yes</x:v>
      </x:c>
      <x:c r="E20" s="19" t="str">
        <x:v>Immediately afterwards, it could surface apparent omissions while the interaction remains fresh in memory.</x:v>
      </x:c>
      <x:c r="F20" s="19" t="str">
        <x:v>P02_R2_Response_COMPLETED_v0.8.0.xlsx</x:v>
      </x:c>
    </x:row>
    <x:row r="21">
      <x:c r="A21" s="21" t="str">
        <x:v>P03</x:v>
      </x:c>
      <x:c r="B21" s="21" t="str">
        <x:v>S2</x:v>
      </x:c>
      <x:c r="C21" s="21" t="str">
        <x:v>Immediately after an interview</x:v>
      </x:c>
      <x:c r="D21" s="21" t="str">
        <x:v>Yes</x:v>
      </x:c>
      <x:c r="E21" s="21" t="str">
        <x:v>Run immediately post-session as quality gate one.</x:v>
      </x:c>
      <x:c r="F21" s="21" t="str">
        <x:v>P03_R2_Response_COMPLETED_v0.8.0.xlsx</x:v>
      </x:c>
    </x:row>
    <x:row r="22">
      <x:c r="A22" s="19" t="str">
        <x:v>P01</x:v>
      </x:c>
      <x:c r="B22" s="19" t="str">
        <x:v>S3</x:v>
      </x:c>
      <x:c r="C22" s="19" t="str">
        <x:v>Initial evidence extraction and familiarisation</x:v>
      </x:c>
      <x:c r="D22" s="19" t="str">
        <x:v>Yes</x:v>
      </x:c>
      <x:c r="E22" s="19" t="str">
        <x:v>A useful first sweep of the material, as long as I can open the source immediately.</x:v>
      </x:c>
      <x:c r="F22" s="19" t="str">
        <x:v>P01_R2_Response_COMPLETED_v0.8.0.xlsx</x:v>
      </x:c>
    </x:row>
    <x:row r="23">
      <x:c r="A23" s="21" t="str">
        <x:v>P02</x:v>
      </x:c>
      <x:c r="B23" s="21" t="str">
        <x:v>S3</x:v>
      </x:c>
      <x:c r="C23" s="21" t="str">
        <x:v>Initial evidence extraction and familiarisation</x:v>
      </x:c>
      <x:c r="D23" s="21" t="str">
        <x:v>Yes</x:v>
      </x:c>
      <x:c r="E23" s="21" t="str">
        <x:v>At most, I would treat the output as an index of passages requiring contextual reading, not as an interpretation.</x:v>
      </x:c>
      <x:c r="F23" s="21" t="str">
        <x:v>P02_R2_Response_COMPLETED_v0.8.0.xlsx</x:v>
      </x:c>
    </x:row>
    <x:row r="24">
      <x:c r="A24" s="19" t="str">
        <x:v>P03</x:v>
      </x:c>
      <x:c r="B24" s="19" t="str">
        <x:v>S3</x:v>
      </x:c>
      <x:c r="C24" s="19" t="str">
        <x:v>Initial evidence extraction and familiarisation</x:v>
      </x:c>
      <x:c r="D24" s="19" t="str">
        <x:v>No</x:v>
      </x:c>
      <x:c r="E24" s="19" t="str">
        <x:v>Defer. Familiarisation uses the unabridged transcript, not screened items.</x:v>
      </x:c>
      <x:c r="F24" s="19" t="str">
        <x:v>P03_R2_Response_COMPLETED_v0.8.0.xlsx</x:v>
      </x:c>
    </x:row>
    <x:row r="25">
      <x:c r="A25" s="21" t="str">
        <x:v>P01</x:v>
      </x:c>
      <x:c r="B25" s="21" t="str">
        <x:v>S4</x:v>
      </x:c>
      <x:c r="C25" s="21" t="str">
        <x:v>Focused source verification before coding</x:v>
      </x:c>
      <x:c r="D25" s="21" t="str">
        <x:v>Yes</x:v>
      </x:c>
      <x:c r="E25" s="21" t="str">
        <x:v>Helpful when I am checking that an extract says what the summary claims it says.</x:v>
      </x:c>
      <x:c r="F25" s="21" t="str">
        <x:v>P01_R2_Response_COMPLETED_v0.8.0.xlsx</x:v>
      </x:c>
    </x:row>
    <x:row r="26">
      <x:c r="A26" s="19" t="str">
        <x:v>P02</x:v>
      </x:c>
      <x:c r="B26" s="19" t="str">
        <x:v>S4</x:v>
      </x:c>
      <x:c r="C26" s="19" t="str">
        <x:v>Focused source verification before coding</x:v>
      </x:c>
      <x:c r="D26" s="19" t="str">
        <x:v>Yes</x:v>
      </x:c>
      <x:c r="E26" s="19" t="str">
        <x:v>The strongest placement is directly before coding, when every retained proposition can be tested against its cited basis.</x:v>
      </x:c>
      <x:c r="F26" s="19" t="str">
        <x:v>P02_R2_Response_COMPLETED_v0.8.0.xlsx</x:v>
      </x:c>
    </x:row>
    <x:row r="27">
      <x:c r="A27" s="21" t="str">
        <x:v>P03</x:v>
      </x:c>
      <x:c r="B27" s="21" t="str">
        <x:v>S4</x:v>
      </x:c>
      <x:c r="C27" s="21" t="str">
        <x:v>Focused source verification before coding</x:v>
      </x:c>
      <x:c r="D27" s="21" t="str">
        <x:v>Yes</x:v>
      </x:c>
      <x:c r="E27" s="21" t="str">
        <x:v>Primary insertion point: evidence validation before analytic carry-over.</x:v>
      </x:c>
      <x:c r="F27" s="21" t="str">
        <x:v>P03_R2_Response_COMPLETED_v0.8.0.xlsx</x:v>
      </x:c>
    </x:row>
    <x:row r="28">
      <x:c r="A28" s="19" t="str">
        <x:v>P01</x:v>
      </x:c>
      <x:c r="B28" s="19" t="str">
        <x:v>S5</x:v>
      </x:c>
      <x:c r="C28" s="19" t="str">
        <x:v>Coding or thematic analysis preparation</x:v>
      </x:c>
      <x:c r="D28" s="19" t="str">
        <x:v>Yes</x:v>
      </x:c>
      <x:c r="E28" s="19" t="str">
        <x:v>I would use the checked extracts to get organised, then return to the full transcript for coding.</x:v>
      </x:c>
      <x:c r="F28" s="19" t="str">
        <x:v>P01_R2_Response_COMPLETED_v0.8.0.xlsx</x:v>
      </x:c>
    </x:row>
    <x:row r="29">
      <x:c r="A29" s="21" t="str">
        <x:v>P02</x:v>
      </x:c>
      <x:c r="B29" s="21" t="str">
        <x:v>S5</x:v>
      </x:c>
      <x:c r="C29" s="21" t="str">
        <x:v>Coding or thematic analysis preparation</x:v>
      </x:c>
      <x:c r="D29" s="21" t="str">
        <x:v>Yes</x:v>
      </x:c>
      <x:c r="E29" s="21" t="str">
        <x:v>It may assist corpus preparation, so long as analytic categories continue to arise from the study rather than the tool.</x:v>
      </x:c>
      <x:c r="F29" s="21" t="str">
        <x:v>P02_R2_Response_COMPLETED_v0.8.0.xlsx</x:v>
      </x:c>
    </x:row>
    <x:row r="30">
      <x:c r="A30" s="19" t="str">
        <x:v>P03</x:v>
      </x:c>
      <x:c r="B30" s="19" t="str">
        <x:v>S5</x:v>
      </x:c>
      <x:c r="C30" s="19" t="str">
        <x:v>Coding or thematic analysis preparation</x:v>
      </x:c>
      <x:c r="D30" s="19" t="str">
        <x:v>No</x:v>
      </x:c>
      <x:c r="E30" s="19" t="str">
        <x:v>Reject as a coding start point; prior screening would shape the corpus too early.</x:v>
      </x:c>
      <x:c r="F30" s="19" t="str">
        <x:v>P03_R2_Response_COMPLETED_v0.8.0.xlsx</x:v>
      </x:c>
    </x:row>
    <x:row r="31">
      <x:c r="A31" s="21" t="str">
        <x:v>P01</x:v>
      </x:c>
      <x:c r="B31" s="21" t="str">
        <x:v>S6</x:v>
      </x:c>
      <x:c r="C31" s="21" t="str">
        <x:v>Reporting, audit or evidence handoff</x:v>
      </x:c>
      <x:c r="D31" s="21" t="str">
        <x:v>Yes</x:v>
      </x:c>
      <x:c r="E31" s="21" t="str">
        <x:v>The record would make a handover easier because another person can see what I kept and changed.</x:v>
      </x:c>
      <x:c r="F31" s="21" t="str">
        <x:v>P01_R2_Response_COMPLETED_v0.8.0.xlsx</x:v>
      </x:c>
    </x:row>
    <x:row r="32">
      <x:c r="A32" s="19" t="str">
        <x:v>P02</x:v>
      </x:c>
      <x:c r="B32" s="19" t="str">
        <x:v>S6</x:v>
      </x:c>
      <x:c r="C32" s="19" t="str">
        <x:v>Reporting, audit or evidence handoff</x:v>
      </x:c>
      <x:c r="D32" s="19" t="str">
        <x:v>Yes</x:v>
      </x:c>
      <x:c r="E32" s="19" t="str">
        <x:v>For inter-researcher review, the provenance history could reconstruct how the evidential set was constituted.</x:v>
      </x:c>
      <x:c r="F32" s="19" t="str">
        <x:v>P02_R2_Response_COMPLETED_v0.8.0.xlsx</x:v>
      </x:c>
    </x:row>
    <x:row r="33">
      <x:c r="A33" s="21" t="str">
        <x:v>P03</x:v>
      </x:c>
      <x:c r="B33" s="21" t="str">
        <x:v>S6</x:v>
      </x:c>
      <x:c r="C33" s="21" t="str">
        <x:v>Reporting, audit or evidence handoff</x:v>
      </x:c>
      <x:c r="D33" s="21" t="str">
        <x:v>Yes</x:v>
      </x:c>
      <x:c r="E33" s="21" t="str">
        <x:v>Use the export as an auditable relay between reviewers.</x:v>
      </x:c>
      <x:c r="F33" s="21" t="str">
        <x:v>P03_R2_Response_COMPLETED_v0.8.0.xlsx</x:v>
      </x:c>
    </x:row>
    <x:row r="34">
      <x:c r="A34" s="19" t="str">
        <x:v>P01</x:v>
      </x:c>
      <x:c r="B34" s="19" t="str">
        <x:v>S7</x:v>
      </x:c>
      <x:c r="C34" s="19" t="str">
        <x:v>I would not use it at any research stage</x:v>
      </x:c>
      <x:c r="D34" s="19" t="str">
        <x:v>No</x:v>
      </x:c>
      <x:c r="E34" s="19" t="str">
        <x:v>Use cases are already listed above.</x:v>
      </x:c>
      <x:c r="F34" s="19" t="str">
        <x:v>P01_R2_Response_COMPLETED_v0.8.0.xlsx</x:v>
      </x:c>
    </x:row>
    <x:row r="35">
      <x:c r="A35" s="21" t="str">
        <x:v>P02</x:v>
      </x:c>
      <x:c r="B35" s="21" t="str">
        <x:v>S7</x:v>
      </x:c>
      <x:c r="C35" s="21" t="str">
        <x:v>I would not use it at any research stage</x:v>
      </x:c>
      <x:c r="D35" s="21" t="str">
        <x:v>No</x:v>
      </x:c>
      <x:c r="E35" s="21" t="str">
        <x:v>No. More than one stage listed here has a defensible application.</x:v>
      </x:c>
      <x:c r="F35" s="21" t="str">
        <x:v>P02_R2_Response_COMPLETED_v0.8.0.xlsx</x:v>
      </x:c>
    </x:row>
    <x:row r="36">
      <x:c r="A36" s="19" t="str">
        <x:v>P03</x:v>
      </x:c>
      <x:c r="B36" s="19" t="str">
        <x:v>S7</x:v>
      </x:c>
      <x:c r="C36" s="19" t="str">
        <x:v>I would not use it at any research stage</x:v>
      </x:c>
      <x:c r="D36" s="19" t="str">
        <x:v>No</x:v>
      </x:c>
      <x:c r="E36" s="19" t="str">
        <x:v>Scope is verification plus transfer.</x:v>
      </x:c>
      <x:c r="F36" s="19" t="str">
        <x:v>P03_R2_Response_COMPLETED_v0.8.0.xlsx</x:v>
      </x:c>
    </x:row>
    <x:row r="37">
      <x:c r="A37" s="21" t="str">
        <x:v>P01</x:v>
      </x:c>
      <x:c r="B37" s="21" t="str">
        <x:v>S8</x:v>
      </x:c>
      <x:c r="C37" s="21" t="str">
        <x:v>Other stage (describe)</x:v>
      </x:c>
      <x:c r="D37" s="21" t="str">
        <x:v>No</x:v>
      </x:c>
      <x:c r="E37" s="21" t="str">
        <x:v>No separate stage comes to mind.</x:v>
      </x:c>
      <x:c r="F37" s="21" t="str">
        <x:v>P01_R2_Response_COMPLETED_v0.8.0.xlsx</x:v>
      </x:c>
    </x:row>
    <x:row r="38">
      <x:c r="A38" s="19" t="str">
        <x:v>P02</x:v>
      </x:c>
      <x:c r="B38" s="19" t="str">
        <x:v>S8</x:v>
      </x:c>
      <x:c r="C38" s="19" t="str">
        <x:v>Other stage (describe)</x:v>
      </x:c>
      <x:c r="D38" s="19" t="str">
        <x:v>No</x:v>
      </x:c>
      <x:c r="E38" s="19" t="str">
        <x:v>I do not see a further point in the study process where it adds a distinct function.</x:v>
      </x:c>
      <x:c r="F38" s="19" t="str">
        <x:v>P02_R2_Response_COMPLETED_v0.8.0.xlsx</x:v>
      </x:c>
    </x:row>
    <x:row r="39">
      <x:c r="A39" s="22" t="str">
        <x:v>P03</x:v>
      </x:c>
      <x:c r="B39" s="22" t="str">
        <x:v>S8</x:v>
      </x:c>
      <x:c r="C39" s="22" t="str">
        <x:v>Other stage (describe)</x:v>
      </x:c>
      <x:c r="D39" s="22" t="str">
        <x:v>No</x:v>
      </x:c>
      <x:c r="E39" s="22" t="str">
        <x:v>None beyond that scope.</x:v>
      </x:c>
      <x:c r="F39" s="22" t="str">
        <x:v>P03_R2_Response_COMPLETED_v0.8.0.xlsx</x:v>
      </x:c>
    </x:row>
  </x:sheetData>
  <x:mergeCells>
    <x:mergeCell ref="A1:G1"/>
    <x:mergeCell ref="A2:G2"/>
    <x:mergeCell ref="A14:G1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40" hidden="0" customWidth="1"/>
    <x:col min="4" max="4" width="14" hidden="0" customWidth="1"/>
    <x:col min="5" max="5" width="50" hidden="0" customWidth="1"/>
    <x:col min="6" max="6" width="42" hidden="0" customWidth="1"/>
    <x:col min="7" max="7" width="12" hidden="0" customWidth="1"/>
  </x:cols>
  <x:sheetData>
    <x:row r="1" ht="30" customHeight="1">
      <x:c r="A1" s="3" t="str">
        <x:v>功能保留 / Feature Retention</x:v>
      </x:c>
      <x:c r="B1" s="3"/>
      <x:c r="C1" s="3"/>
      <x:c r="D1" s="3"/>
      <x:c r="E1" s="3"/>
      <x:c r="F1" s="3"/>
      <x:c r="G1" s="3"/>
    </x:row>
    <x:row r="2" ht="34" customHeight="1">
      <x:c r="A2" s="7" t="str">
        <x:v>上部为三人汇总；下部保留每位Researcher原始选择与理由。</x:v>
      </x:c>
      <x:c r="B2" s="7"/>
      <x:c r="C2" s="7"/>
      <x:c r="D2" s="7"/>
      <x:c r="E2" s="7"/>
      <x:c r="F2" s="7"/>
      <x:c r="G2" s="7"/>
    </x:row>
    <x:row r="4" ht="30" customHeight="1">
      <x:c r="A4" s="14" t="str">
        <x:v>ID</x:v>
      </x:c>
      <x:c r="B4" s="14" t="str">
        <x:v>Feature</x:v>
      </x:c>
      <x:c r="C4" s="14" t="str">
        <x:v>Yes</x:v>
      </x:c>
      <x:c r="D4" s="14" t="str">
        <x:v>N</x:v>
      </x:c>
      <x:c r="E4" s="14" t="str">
        <x:v>Rate</x:v>
      </x:c>
    </x:row>
    <x:row r="5">
      <x:c r="A5" s="19" t="str">
        <x:v>F1</x:v>
      </x:c>
      <x:c r="B5" s="19" t="str">
        <x:v>Topic-grouped review structure</x:v>
      </x:c>
      <x:c r="C5" s="19" t="n">
        <x:v>3</x:v>
      </x:c>
      <x:c r="D5" s="19" t="n">
        <x:v>3</x:v>
      </x:c>
      <x:c r="E5" s="32" t="n">
        <x:v>1</x:v>
      </x:c>
    </x:row>
    <x:row r="6">
      <x:c r="A6" s="21" t="str">
        <x:v>F2</x:v>
      </x:c>
      <x:c r="B6" s="21" t="str">
        <x:v>Source-linked candidate Evidence items</x:v>
      </x:c>
      <x:c r="C6" s="21" t="n">
        <x:v>3</x:v>
      </x:c>
      <x:c r="D6" s="21" t="n">
        <x:v>3</x:v>
      </x:c>
      <x:c r="E6" s="33" t="n">
        <x:v>1</x:v>
      </x:c>
    </x:row>
    <x:row r="7">
      <x:c r="A7" s="19" t="str">
        <x:v>F3</x:v>
      </x:c>
      <x:c r="B7" s="19" t="str">
        <x:v>Clickable navigation to transcript sources</x:v>
      </x:c>
      <x:c r="C7" s="19" t="n">
        <x:v>3</x:v>
      </x:c>
      <x:c r="D7" s="19" t="n">
        <x:v>3</x:v>
      </x:c>
      <x:c r="E7" s="32" t="n">
        <x:v>1</x:v>
      </x:c>
    </x:row>
    <x:row r="8">
      <x:c r="A8" s="21" t="str">
        <x:v>F4</x:v>
      </x:c>
      <x:c r="B8" s="21" t="str">
        <x:v>Explicit coverage and missing-information status</x:v>
      </x:c>
      <x:c r="C8" s="21" t="n">
        <x:v>3</x:v>
      </x:c>
      <x:c r="D8" s="21" t="n">
        <x:v>3</x:v>
      </x:c>
      <x:c r="E8" s="33" t="n">
        <x:v>1</x:v>
      </x:c>
    </x:row>
    <x:row r="9">
      <x:c r="A9" s="19" t="str">
        <x:v>F5</x:v>
      </x:c>
      <x:c r="B9" s="19" t="str">
        <x:v>Include / edit / exclude controls</x:v>
      </x:c>
      <x:c r="C9" s="19" t="n">
        <x:v>3</x:v>
      </x:c>
      <x:c r="D9" s="19" t="n">
        <x:v>3</x:v>
      </x:c>
      <x:c r="E9" s="32" t="n">
        <x:v>1</x:v>
      </x:c>
    </x:row>
    <x:row r="10">
      <x:c r="A10" s="21" t="str">
        <x:v>F6</x:v>
      </x:c>
      <x:c r="B10" s="21" t="str">
        <x:v>Reviewer identity and decision history</x:v>
      </x:c>
      <x:c r="C10" s="21" t="n">
        <x:v>3</x:v>
      </x:c>
      <x:c r="D10" s="21" t="n">
        <x:v>3</x:v>
      </x:c>
      <x:c r="E10" s="33" t="n">
        <x:v>1</x:v>
      </x:c>
    </x:row>
    <x:row r="11">
      <x:c r="A11" s="19" t="str">
        <x:v>F7</x:v>
      </x:c>
      <x:c r="B11" s="19" t="str">
        <x:v>Researcher-reviewed Evidence Record export</x:v>
      </x:c>
      <x:c r="C11" s="19" t="n">
        <x:v>3</x:v>
      </x:c>
      <x:c r="D11" s="19" t="n">
        <x:v>3</x:v>
      </x:c>
      <x:c r="E11" s="32" t="n">
        <x:v>1</x:v>
      </x:c>
    </x:row>
    <x:row r="12">
      <x:c r="A12" s="21" t="str">
        <x:v>F8</x:v>
      </x:c>
      <x:c r="B12" s="21" t="str">
        <x:v>I would not retain any listed feature</x:v>
      </x:c>
      <x:c r="C12" s="21" t="n">
        <x:v>0</x:v>
      </x:c>
      <x:c r="D12" s="21" t="n">
        <x:v>3</x:v>
      </x:c>
      <x:c r="E12" s="33" t="n">
        <x:v>0</x:v>
      </x:c>
    </x:row>
    <x:row r="13">
      <x:c r="A13" s="20" t="str">
        <x:v>F9</x:v>
      </x:c>
      <x:c r="B13" s="20" t="str">
        <x:v>Other feature (describe)</x:v>
      </x:c>
      <x:c r="C13" s="20" t="n">
        <x:v>2</x:v>
      </x:c>
      <x:c r="D13" s="20" t="n">
        <x:v>3</x:v>
      </x:c>
      <x:c r="E13" s="35" t="n">
        <x:v>0.6666666666666666</x:v>
      </x:c>
    </x:row>
    <x:row r="15" ht="24" customHeight="1">
      <x:c r="A15" s="9" t="str">
        <x:v>逐人原始回答 / Participant-level responses</x:v>
      </x:c>
      <x:c r="B15" s="9"/>
      <x:c r="C15" s="9"/>
      <x:c r="D15" s="9"/>
      <x:c r="E15" s="9"/>
      <x:c r="F15" s="9"/>
      <x:c r="G15" s="9"/>
    </x:row>
    <x:row r="16" ht="30" customHeight="1">
      <x:c r="A16" s="14" t="str">
        <x:v>Participant</x:v>
      </x:c>
      <x:c r="B16" s="14" t="str">
        <x:v>ID</x:v>
      </x:c>
      <x:c r="C16" s="14" t="str">
        <x:v>Feature</x:v>
      </x:c>
      <x:c r="D16" s="14" t="str">
        <x:v>Retain</x:v>
      </x:c>
      <x:c r="E16" s="14" t="str">
        <x:v>Reason</x:v>
      </x:c>
      <x:c r="F16" s="14" t="str">
        <x:v>Source file</x:v>
      </x:c>
    </x:row>
    <x:row r="17">
      <x:c r="A17" s="19" t="str">
        <x:v>P01</x:v>
      </x:c>
      <x:c r="B17" s="19" t="str">
        <x:v>F1</x:v>
      </x:c>
      <x:c r="C17" s="19" t="str">
        <x:v>Topic-grouped review structure</x:v>
      </x:c>
      <x:c r="D17" s="19" t="str">
        <x:v>Yes</x:v>
      </x:c>
      <x:c r="E17" s="19" t="str">
        <x:v>Keep the topic groups, but make the item order predictable.</x:v>
      </x:c>
      <x:c r="F17" s="19" t="str">
        <x:v>P01_R2_Response_COMPLETED_v0.8.0.xlsx</x:v>
      </x:c>
    </x:row>
    <x:row r="18">
      <x:c r="A18" s="21" t="str">
        <x:v>P02</x:v>
      </x:c>
      <x:c r="B18" s="21" t="str">
        <x:v>F1</x:v>
      </x:c>
      <x:c r="C18" s="21" t="str">
        <x:v>Topic-grouped review structure</x:v>
      </x:c>
      <x:c r="D18" s="21" t="str">
        <x:v>Yes</x:v>
      </x:c>
      <x:c r="E18" s="21" t="str">
        <x:v>A protocol-indexed structure is useful, although evidence identifiers should remain invariant throughout the review.</x:v>
      </x:c>
      <x:c r="F18" s="21" t="str">
        <x:v>P02_R2_Response_COMPLETED_v0.8.0.xlsx</x:v>
      </x:c>
    </x:row>
    <x:row r="19">
      <x:c r="A19" s="19" t="str">
        <x:v>P03</x:v>
      </x:c>
      <x:c r="B19" s="19" t="str">
        <x:v>F1</x:v>
      </x:c>
      <x:c r="C19" s="19" t="str">
        <x:v>Topic-grouped review structure</x:v>
      </x:c>
      <x:c r="D19" s="19" t="str">
        <x:v>Yes</x:v>
      </x:c>
      <x:c r="E19" s="19" t="str">
        <x:v>Retain for navigation; never infer item validity from section status.</x:v>
      </x:c>
      <x:c r="F19" s="19" t="str">
        <x:v>P03_R2_Response_COMPLETED_v0.8.0.xlsx</x:v>
      </x:c>
    </x:row>
    <x:row r="20">
      <x:c r="A20" s="21" t="str">
        <x:v>P01</x:v>
      </x:c>
      <x:c r="B20" s="21" t="str">
        <x:v>F2</x:v>
      </x:c>
      <x:c r="C20" s="21" t="str">
        <x:v>Source-linked candidate Evidence items</x:v>
      </x:c>
      <x:c r="D20" s="21" t="str">
        <x:v>Yes</x:v>
      </x:c>
      <x:c r="E20" s="21" t="str">
        <x:v>Yes. It is easier to judge a claim when its source is attached to it.</x:v>
      </x:c>
      <x:c r="F20" s="21" t="str">
        <x:v>P01_R2_Response_COMPLETED_v0.8.0.xlsx</x:v>
      </x:c>
    </x:row>
    <x:row r="21">
      <x:c r="A21" s="19" t="str">
        <x:v>P02</x:v>
      </x:c>
      <x:c r="B21" s="19" t="str">
        <x:v>F2</x:v>
      </x:c>
      <x:c r="C21" s="19" t="str">
        <x:v>Source-linked candidate Evidence items</x:v>
      </x:c>
      <x:c r="D21" s="19" t="str">
        <x:v>Yes</x:v>
      </x:c>
      <x:c r="E21" s="19" t="str">
        <x:v>The analytical unit that matters here is the proposition together with its attributed source.</x:v>
      </x:c>
      <x:c r="F21" s="19" t="str">
        <x:v>P02_R2_Response_COMPLETED_v0.8.0.xlsx</x:v>
      </x:c>
    </x:row>
    <x:row r="22">
      <x:c r="A22" s="21" t="str">
        <x:v>P03</x:v>
      </x:c>
      <x:c r="B22" s="21" t="str">
        <x:v>F2</x:v>
      </x:c>
      <x:c r="C22" s="21" t="str">
        <x:v>Source-linked candidate Evidence items</x:v>
      </x:c>
      <x:c r="D22" s="21" t="str">
        <x:v>Yes</x:v>
      </x:c>
      <x:c r="E22" s="21" t="str">
        <x:v>Require a provenance anchor for every candidate entering the gate.</x:v>
      </x:c>
      <x:c r="F22" s="21" t="str">
        <x:v>P03_R2_Response_COMPLETED_v0.8.0.xlsx</x:v>
      </x:c>
    </x:row>
    <x:row r="23">
      <x:c r="A23" s="19" t="str">
        <x:v>P01</x:v>
      </x:c>
      <x:c r="B23" s="19" t="str">
        <x:v>F3</x:v>
      </x:c>
      <x:c r="C23" s="19" t="str">
        <x:v>Clickable navigation to transcript sources</x:v>
      </x:c>
      <x:c r="D23" s="19" t="str">
        <x:v>Yes</x:v>
      </x:c>
      <x:c r="E23" s="19" t="str">
        <x:v>A direct jump saves time, especially when I want the surrounding lines.</x:v>
      </x:c>
      <x:c r="F23" s="19" t="str">
        <x:v>P01_R2_Response_COMPLETED_v0.8.0.xlsx</x:v>
      </x:c>
    </x:row>
    <x:row r="24">
      <x:c r="A24" s="21" t="str">
        <x:v>P02</x:v>
      </x:c>
      <x:c r="B24" s="21" t="str">
        <x:v>F3</x:v>
      </x:c>
      <x:c r="C24" s="21" t="str">
        <x:v>Clickable navigation to transcript sources</x:v>
      </x:c>
      <x:c r="D24" s="21" t="str">
        <x:v>Yes</x:v>
      </x:c>
      <x:c r="E24" s="21" t="str">
        <x:v>Retain direct navigation and expose sufficient neighbouring dialogue for contextual assessment.</x:v>
      </x:c>
      <x:c r="F24" s="21" t="str">
        <x:v>P02_R2_Response_COMPLETED_v0.8.0.xlsx</x:v>
      </x:c>
    </x:row>
    <x:row r="25">
      <x:c r="A25" s="19" t="str">
        <x:v>P03</x:v>
      </x:c>
      <x:c r="B25" s="19" t="str">
        <x:v>F3</x:v>
      </x:c>
      <x:c r="C25" s="19" t="str">
        <x:v>Clickable navigation to transcript sources</x:v>
      </x:c>
      <x:c r="D25" s="19" t="str">
        <x:v>Yes</x:v>
      </x:c>
      <x:c r="E25" s="19" t="str">
        <x:v>Retain the anchor, with verbatim source text visible beside it.</x:v>
      </x:c>
      <x:c r="F25" s="19" t="str">
        <x:v>P03_R2_Response_COMPLETED_v0.8.0.xlsx</x:v>
      </x:c>
    </x:row>
    <x:row r="26">
      <x:c r="A26" s="21" t="str">
        <x:v>P01</x:v>
      </x:c>
      <x:c r="B26" s="21" t="str">
        <x:v>F4</x:v>
      </x:c>
      <x:c r="C26" s="21" t="str">
        <x:v>Explicit coverage and missing-information status</x:v>
      </x:c>
      <x:c r="D26" s="21" t="str">
        <x:v>Yes</x:v>
      </x:c>
      <x:c r="E26" s="21" t="str">
        <x:v>Keep it. Gaps should not disappear just because an extract sounds convincing.</x:v>
      </x:c>
      <x:c r="F26" s="21" t="str">
        <x:v>P01_R2_Response_COMPLETED_v0.8.0.xlsx</x:v>
      </x:c>
    </x:row>
    <x:row r="27">
      <x:c r="A27" s="19" t="str">
        <x:v>P02</x:v>
      </x:c>
      <x:c r="B27" s="19" t="str">
        <x:v>F4</x:v>
      </x:c>
      <x:c r="C27" s="19" t="str">
        <x:v>Explicit coverage and missing-information status</x:v>
      </x:c>
      <x:c r="D27" s="19" t="str">
        <x:v>Yes</x:v>
      </x:c>
      <x:c r="E27" s="19" t="str">
        <x:v>This distinction is indispensable: absence of establishment is not equivalent to positive support.</x:v>
      </x:c>
      <x:c r="F27" s="19" t="str">
        <x:v>P02_R2_Response_COMPLETED_v0.8.0.xlsx</x:v>
      </x:c>
    </x:row>
    <x:row r="28">
      <x:c r="A28" s="21" t="str">
        <x:v>P03</x:v>
      </x:c>
      <x:c r="B28" s="21" t="str">
        <x:v>F4</x:v>
      </x:c>
      <x:c r="C28" s="21" t="str">
        <x:v>Explicit coverage and missing-information status</x:v>
      </x:c>
      <x:c r="D28" s="21" t="str">
        <x:v>Yes</x:v>
      </x:c>
      <x:c r="E28" s="21" t="str">
        <x:v>Mandatory. Omission and contradiction require different flags.</x:v>
      </x:c>
      <x:c r="F28" s="21" t="str">
        <x:v>P03_R2_Response_COMPLETED_v0.8.0.xlsx</x:v>
      </x:c>
    </x:row>
    <x:row r="29">
      <x:c r="A29" s="19" t="str">
        <x:v>P01</x:v>
      </x:c>
      <x:c r="B29" s="19" t="str">
        <x:v>F5</x:v>
      </x:c>
      <x:c r="C29" s="19" t="str">
        <x:v>Include / edit / exclude controls</x:v>
      </x:c>
      <x:c r="D29" s="19" t="str">
        <x:v>Yes</x:v>
      </x:c>
      <x:c r="E29" s="19" t="str">
        <x:v>These are the basic choices I need when tidying a draft record.</x:v>
      </x:c>
      <x:c r="F29" s="19" t="str">
        <x:v>P01_R2_Response_COMPLETED_v0.8.0.xlsx</x:v>
      </x:c>
    </x:row>
    <x:row r="30">
      <x:c r="A30" s="21" t="str">
        <x:v>P02</x:v>
      </x:c>
      <x:c r="B30" s="21" t="str">
        <x:v>F5</x:v>
      </x:c>
      <x:c r="C30" s="21" t="str">
        <x:v>Include / edit / exclude controls</x:v>
      </x:c>
      <x:c r="D30" s="21" t="str">
        <x:v>Yes</x:v>
      </x:c>
      <x:c r="E30" s="21" t="str">
        <x:v>These operations preserve the difference between an assessed candidate and its subsequent correction.</x:v>
      </x:c>
      <x:c r="F30" s="21" t="str">
        <x:v>P02_R2_Response_COMPLETED_v0.8.0.xlsx</x:v>
      </x:c>
    </x:row>
    <x:row r="31">
      <x:c r="A31" s="19" t="str">
        <x:v>P03</x:v>
      </x:c>
      <x:c r="B31" s="19" t="str">
        <x:v>F5</x:v>
      </x:c>
      <x:c r="C31" s="19" t="str">
        <x:v>Include / edit / exclude controls</x:v>
      </x:c>
      <x:c r="D31" s="19" t="str">
        <x:v>Yes</x:v>
      </x:c>
      <x:c r="E31" s="19" t="str">
        <x:v>Retain as the intervention layer for repair, rejection and escalation.</x:v>
      </x:c>
      <x:c r="F31" s="19" t="str">
        <x:v>P03_R2_Response_COMPLETED_v0.8.0.xlsx</x:v>
      </x:c>
    </x:row>
    <x:row r="32">
      <x:c r="A32" s="21" t="str">
        <x:v>P01</x:v>
      </x:c>
      <x:c r="B32" s="21" t="str">
        <x:v>F6</x:v>
      </x:c>
      <x:c r="C32" s="21" t="str">
        <x:v>Reviewer identity and decision history</x:v>
      </x:c>
      <x:c r="D32" s="21" t="str">
        <x:v>Yes</x:v>
      </x:c>
      <x:c r="E32" s="21" t="str">
        <x:v>Useful, but the history should read like a short timeline, not a log dump.</x:v>
      </x:c>
      <x:c r="F32" s="21" t="str">
        <x:v>P01_R2_Response_COMPLETED_v0.8.0.xlsx</x:v>
      </x:c>
    </x:row>
    <x:row r="33">
      <x:c r="A33" s="19" t="str">
        <x:v>P02</x:v>
      </x:c>
      <x:c r="B33" s="19" t="str">
        <x:v>F6</x:v>
      </x:c>
      <x:c r="C33" s="19" t="str">
        <x:v>Reviewer identity and decision history</x:v>
      </x:c>
      <x:c r="D33" s="19" t="str">
        <x:v>Yes</x:v>
      </x:c>
      <x:c r="E33" s="19" t="str">
        <x:v>Accountability depends on this record, particularly where another researcher must reproduce the sequence of decisions.</x:v>
      </x:c>
      <x:c r="F33" s="19" t="str">
        <x:v>P02_R2_Response_COMPLETED_v0.8.0.xlsx</x:v>
      </x:c>
    </x:row>
    <x:row r="34">
      <x:c r="A34" s="21" t="str">
        <x:v>P03</x:v>
      </x:c>
      <x:c r="B34" s="21" t="str">
        <x:v>F6</x:v>
      </x:c>
      <x:c r="C34" s="21" t="str">
        <x:v>Reviewer identity and decision history</x:v>
      </x:c>
      <x:c r="D34" s="21" t="str">
        <x:v>Yes</x:v>
      </x:c>
      <x:c r="E34" s="21" t="str">
        <x:v>Preserve actor, timestamp and prior state through sign-off.</x:v>
      </x:c>
      <x:c r="F34" s="21" t="str">
        <x:v>P03_R2_Response_COMPLETED_v0.8.0.xlsx</x:v>
      </x:c>
    </x:row>
    <x:row r="35">
      <x:c r="A35" s="19" t="str">
        <x:v>P01</x:v>
      </x:c>
      <x:c r="B35" s="19" t="str">
        <x:v>F7</x:v>
      </x:c>
      <x:c r="C35" s="19" t="str">
        <x:v>Researcher-reviewed Evidence Record export</x:v>
      </x:c>
      <x:c r="D35" s="19" t="str">
        <x:v>Yes</x:v>
      </x:c>
      <x:c r="E35" s="19" t="str">
        <x:v>Yes; this is the part I could actually share with the next person in the project.</x:v>
      </x:c>
      <x:c r="F35" s="19" t="str">
        <x:v>P01_R2_Response_COMPLETED_v0.8.0.xlsx</x:v>
      </x:c>
    </x:row>
    <x:row r="36">
      <x:c r="A36" s="21" t="str">
        <x:v>P02</x:v>
      </x:c>
      <x:c r="B36" s="21" t="str">
        <x:v>F7</x:v>
      </x:c>
      <x:c r="C36" s="21" t="str">
        <x:v>Researcher-reviewed Evidence Record export</x:v>
      </x:c>
      <x:c r="D36" s="21" t="str">
        <x:v>Yes</x:v>
      </x:c>
      <x:c r="E36" s="21" t="str">
        <x:v>The reviewed set can prepare material for analysis; the complete transcript must remain the primary corpus.</x:v>
      </x:c>
      <x:c r="F36" s="21" t="str">
        <x:v>P02_R2_Response_COMPLETED_v0.8.0.xlsx</x:v>
      </x:c>
    </x:row>
    <x:row r="37">
      <x:c r="A37" s="19" t="str">
        <x:v>P03</x:v>
      </x:c>
      <x:c r="B37" s="19" t="str">
        <x:v>F7</x:v>
      </x:c>
      <x:c r="C37" s="19" t="str">
        <x:v>Researcher-reviewed Evidence Record export</x:v>
      </x:c>
      <x:c r="D37" s="19" t="str">
        <x:v>Yes</x:v>
      </x:c>
      <x:c r="E37" s="19" t="str">
        <x:v>Acceptable for control transfer only when provenance survives export.</x:v>
      </x:c>
      <x:c r="F37" s="19" t="str">
        <x:v>P03_R2_Response_COMPLETED_v0.8.0.xlsx</x:v>
      </x:c>
    </x:row>
    <x:row r="38">
      <x:c r="A38" s="21" t="str">
        <x:v>P01</x:v>
      </x:c>
      <x:c r="B38" s="21" t="str">
        <x:v>F8</x:v>
      </x:c>
      <x:c r="C38" s="21" t="str">
        <x:v>I would not retain any listed feature</x:v>
      </x:c>
      <x:c r="D38" s="21" t="str">
        <x:v>No</x:v>
      </x:c>
      <x:c r="E38" s="21" t="str">
        <x:v>No—the items above are the ones I want.</x:v>
      </x:c>
      <x:c r="F38" s="21" t="str">
        <x:v>P01_R2_Response_COMPLETED_v0.8.0.xlsx</x:v>
      </x:c>
    </x:row>
    <x:row r="39">
      <x:c r="A39" s="19" t="str">
        <x:v>P02</x:v>
      </x:c>
      <x:c r="B39" s="19" t="str">
        <x:v>F8</x:v>
      </x:c>
      <x:c r="C39" s="19" t="str">
        <x:v>I would not retain any listed feature</x:v>
      </x:c>
      <x:c r="D39" s="19" t="str">
        <x:v>No</x:v>
      </x:c>
      <x:c r="E39" s="19" t="str">
        <x:v>No further retention requirement is apparent.</x:v>
      </x:c>
      <x:c r="F39" s="19" t="str">
        <x:v>P02_R2_Response_COMPLETED_v0.8.0.xlsx</x:v>
      </x:c>
    </x:row>
    <x:row r="40">
      <x:c r="A40" s="21" t="str">
        <x:v>P03</x:v>
      </x:c>
      <x:c r="B40" s="21" t="str">
        <x:v>F8</x:v>
      </x:c>
      <x:c r="C40" s="21" t="str">
        <x:v>I would not retain any listed feature</x:v>
      </x:c>
      <x:c r="D40" s="21" t="str">
        <x:v>No</x:v>
      </x:c>
      <x:c r="E40" s="21" t="str">
        <x:v>Selection complete: F1 through F7.</x:v>
      </x:c>
      <x:c r="F40" s="21" t="str">
        <x:v>P03_R2_Response_COMPLETED_v0.8.0.xlsx</x:v>
      </x:c>
    </x:row>
    <x:row r="41">
      <x:c r="A41" s="19" t="str">
        <x:v>P01</x:v>
      </x:c>
      <x:c r="B41" s="19" t="str">
        <x:v>F9</x:v>
      </x:c>
      <x:c r="C41" s="19" t="str">
        <x:v>Other feature (describe)</x:v>
      </x:c>
      <x:c r="D41" s="19" t="str">
        <x:v>No</x:v>
      </x:c>
      <x:c r="E41" s="19" t="str">
        <x:v>Nothing additional.</x:v>
      </x:c>
      <x:c r="F41" s="19" t="str">
        <x:v>P01_R2_Response_COMPLETED_v0.8.0.xlsx</x:v>
      </x:c>
    </x:row>
    <x:row r="42">
      <x:c r="A42" s="21" t="str">
        <x:v>P02</x:v>
      </x:c>
      <x:c r="B42" s="21" t="str">
        <x:v>F9</x:v>
      </x:c>
      <x:c r="C42" s="21" t="str">
        <x:v>Other feature (describe)</x:v>
      </x:c>
      <x:c r="D42" s="21" t="str">
        <x:v>Yes</x:v>
      </x:c>
      <x:c r="E42" s="21" t="str">
        <x:v>Show the attributed quotation beside each proposition and mark citations that share a topic but fail to substantiate the wording.</x:v>
      </x:c>
      <x:c r="F42" s="21" t="str">
        <x:v>P02_R2_Response_COMPLETED_v0.8.0.xlsx</x:v>
      </x:c>
    </x:row>
    <x:row r="43">
      <x:c r="A43" s="20" t="str">
        <x:v>P03</x:v>
      </x:c>
      <x:c r="B43" s="20" t="str">
        <x:v>F9</x:v>
      </x:c>
      <x:c r="C43" s="20" t="str">
        <x:v>Other feature (describe)</x:v>
      </x:c>
      <x:c r="D43" s="20" t="str">
        <x:v>Yes</x:v>
      </x:c>
      <x:c r="E43" s="20" t="str">
        <x:v>Introduce a topical-match alert; final disposition remains a reviewer action.</x:v>
      </x:c>
      <x:c r="F43" s="20" t="str">
        <x:v>P03_R2_Response_COMPLETED_v0.8.0.xlsx</x:v>
      </x:c>
    </x:row>
  </x:sheetData>
  <x:mergeCells>
    <x:mergeCell ref="A1:G1"/>
    <x:mergeCell ref="A2:G2"/>
    <x:mergeCell ref="A15:G1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42" hidden="0" customWidth="1"/>
    <x:col min="6" max="6" width="72" hidden="0" customWidth="1"/>
    <x:col min="7" max="7" width="42" hidden="0" customWidth="1"/>
  </x:cols>
  <x:sheetData>
    <x:row r="1" ht="30" customHeight="1">
      <x:c r="A1" s="3" t="str">
        <x:v>开放回答 / Open-ended Responses</x:v>
      </x:c>
      <x:c r="B1" s="3"/>
      <x:c r="C1" s="3"/>
      <x:c r="D1" s="3"/>
      <x:c r="E1" s="3"/>
      <x:c r="F1" s="3"/>
      <x:c r="G1" s="3"/>
    </x:row>
    <x:row r="2" ht="34" customHeight="1">
      <x:c r="A2" s="7" t="str">
        <x:v>逐条保留六个PC10与三人D2/D7/D8/D9/D10原文；未做自动主题编码。</x:v>
      </x:c>
      <x:c r="B2" s="7"/>
      <x:c r="C2" s="7"/>
      <x:c r="D2" s="7"/>
      <x:c r="E2" s="7"/>
      <x:c r="F2" s="7"/>
      <x:c r="G2" s="7"/>
    </x:row>
    <x:row r="4" ht="30" customHeight="1">
      <x:c r="A4" s="14" t="str">
        <x:v>Participant</x:v>
      </x:c>
      <x:c r="B4" s="14" t="str">
        <x:v>Condition</x:v>
      </x:c>
      <x:c r="C4" s="14" t="str">
        <x:v>Section</x:v>
      </x:c>
      <x:c r="D4" s="14" t="str">
        <x:v>ID</x:v>
      </x:c>
      <x:c r="E4" s="14" t="str">
        <x:v>Question</x:v>
      </x:c>
      <x:c r="F4" s="14" t="str">
        <x:v>Response</x:v>
      </x:c>
      <x:c r="G4" s="14" t="str">
        <x:v>Source file</x:v>
      </x:c>
    </x:row>
    <x:row r="5">
      <x:c r="A5" s="19" t="str">
        <x:v>P01</x:v>
      </x:c>
      <x:c r="B5" s="19" t="str">
        <x:v>After both</x:v>
      </x:c>
      <x:c r="C5" s="19" t="str">
        <x:v>Final Comparison</x:v>
      </x:c>
      <x:c r="D5" s="19" t="str">
        <x:v>D10</x:v>
      </x:c>
      <x:c r="E5" s="19" t="str">
        <x:v>Where did the Prototype add the most value, if anywhere?</x:v>
      </x:c>
      <x:c r="F5" s="19" t="str">
        <x:v>For me it saved the handover step: the extracts I had already checked were gathered into a record I could pass on, instead of being copied out again.</x:v>
      </x:c>
      <x:c r="G5" s="19" t="str">
        <x:v>P01_R2_Response_COMPLETED_v0.8.0.xlsx</x:v>
      </x:c>
    </x:row>
    <x:row r="6">
      <x:c r="A6" s="21" t="str">
        <x:v>P01</x:v>
      </x:c>
      <x:c r="B6" s="21" t="str">
        <x:v>After both</x:v>
      </x:c>
      <x:c r="C6" s="21" t="str">
        <x:v>Final Comparison</x:v>
      </x:c>
      <x:c r="D6" s="21" t="str">
        <x:v>D2</x:v>
      </x:c>
      <x:c r="E6" s="21" t="str">
        <x:v>Why did you prefer that condition, or why was there no preference?</x:v>
      </x:c>
      <x:c r="F6" s="21" t="str">
        <x:v>My preference was the Prototype. I could see the claim, its source and what I was about to do on the same screen. I still opened the transcript, but I was not constantly moving between sheets.</x:v>
      </x:c>
      <x:c r="G6" s="21" t="str">
        <x:v>P01_R2_Response_COMPLETED_v0.8.0.xlsx</x:v>
      </x:c>
    </x:row>
    <x:row r="7">
      <x:c r="A7" s="19" t="str">
        <x:v>P01</x:v>
      </x:c>
      <x:c r="B7" s="19" t="str">
        <x:v>After both</x:v>
      </x:c>
      <x:c r="C7" s="19" t="str">
        <x:v>Final Comparison</x:v>
      </x:c>
      <x:c r="D7" s="19" t="str">
        <x:v>D7</x:v>
      </x:c>
      <x:c r="E7" s="19" t="str">
        <x:v>What conditions would need to be in place before you adopted the Prototype?</x:v>
      </x:c>
      <x:c r="F7" s="19" t="str">
        <x:v>I would need the links to land on the right passage every time, and it must stay obvious that the researcher—not the system—makes the final call. I would also want a clear edit trail.</x:v>
      </x:c>
      <x:c r="G7" s="19" t="str">
        <x:v>P01_R2_Response_COMPLETED_v0.8.0.xlsx</x:v>
      </x:c>
    </x:row>
    <x:row r="8">
      <x:c r="A8" s="21" t="str">
        <x:v>P01</x:v>
      </x:c>
      <x:c r="B8" s="21" t="str">
        <x:v>After both</x:v>
      </x:c>
      <x:c r="C8" s="21" t="str">
        <x:v>Final Comparison</x:v>
      </x:c>
      <x:c r="D8" s="21" t="str">
        <x:v>D8</x:v>
      </x:c>
      <x:c r="E8" s="21" t="str">
        <x:v>What would make you reject or stop using it?</x:v>
      </x:c>
      <x:c r="F8" s="21" t="str">
        <x:v>If I could not get back to the participant's own words, I would not trust it. The same applies if uncertain material starts looking like a finished finding.</x:v>
      </x:c>
      <x:c r="G8" s="21" t="str">
        <x:v>P01_R2_Response_COMPLETED_v0.8.0.xlsx</x:v>
      </x:c>
    </x:row>
    <x:row r="9">
      <x:c r="A9" s="19" t="str">
        <x:v>P01</x:v>
      </x:c>
      <x:c r="B9" s="19" t="str">
        <x:v>After both</x:v>
      </x:c>
      <x:c r="C9" s="19" t="str">
        <x:v>Final Comparison</x:v>
      </x:c>
      <x:c r="D9" s="19" t="str">
        <x:v>D9</x:v>
      </x:c>
      <x:c r="E9" s="19" t="str">
        <x:v>What should be changed first?</x:v>
      </x:c>
      <x:c r="F9" s="19" t="str">
        <x:v>Fix the ordering. The topic groups make sense, but the E numbers should not jump around the page.</x:v>
      </x:c>
      <x:c r="G9" s="19" t="str">
        <x:v>P01_R2_Response_COMPLETED_v0.8.0.xlsx</x:v>
      </x:c>
    </x:row>
    <x:row r="10">
      <x:c r="A10" s="21" t="str">
        <x:v>P01</x:v>
      </x:c>
      <x:c r="B10" s="21" t="str">
        <x:v>Manual</x:v>
      </x:c>
      <x:c r="C10" s="21" t="str">
        <x:v>Post-Condition</x:v>
      </x:c>
      <x:c r="D10" s="21" t="str">
        <x:v>PC10</x:v>
      </x:c>
      <x:c r="E10" s="21" t="str">
        <x:v>What was most difficult or useful in this condition?</x:v>
      </x:c>
      <x:c r="F10" s="21" t="str">
        <x:v>Keeping the protocol in view while jumping between the transcript and the six evidence rows was the awkward part. Once the rows were done, the final sheet was much quicker to scan.</x:v>
      </x:c>
      <x:c r="G10" s="21" t="str">
        <x:v>P01_R1_Response_COMPLETED_v0.8.0.xlsx</x:v>
      </x:c>
    </x:row>
    <x:row r="11">
      <x:c r="A11" s="19" t="str">
        <x:v>P01</x:v>
      </x:c>
      <x:c r="B11" s="19" t="str">
        <x:v>Prototype</x:v>
      </x:c>
      <x:c r="C11" s="19" t="str">
        <x:v>Post-Condition</x:v>
      </x:c>
      <x:c r="D11" s="19" t="str">
        <x:v>PC10</x:v>
      </x:c>
      <x:c r="E11" s="19" t="str">
        <x:v>What was most difficult or useful in this condition?</x:v>
      </x:c>
      <x:c r="F11" s="19" t="str">
        <x:v>The links were helpful. I could check the wording without hunting through another sheet. The odd E-number order caught me out once, so I kept checking the item title before editing.</x:v>
      </x:c>
      <x:c r="G11" s="19" t="str">
        <x:v>P01_R2_Response_COMPLETED_v0.8.0.xlsx</x:v>
      </x:c>
    </x:row>
    <x:row r="12">
      <x:c r="A12" s="21" t="str">
        <x:v>P02</x:v>
      </x:c>
      <x:c r="B12" s="21" t="str">
        <x:v>After both</x:v>
      </x:c>
      <x:c r="C12" s="21" t="str">
        <x:v>Final Comparison</x:v>
      </x:c>
      <x:c r="D12" s="21" t="str">
        <x:v>D10</x:v>
      </x:c>
      <x:c r="E12" s="21" t="str">
        <x:v>Where did the Prototype add the most value, if anywhere?</x:v>
      </x:c>
      <x:c r="F12" s="21" t="str">
        <x:v>The approval constraint was the principal benefit: an unresolved attribution issue became visible before the statement entered the reviewed dataset.</x:v>
      </x:c>
      <x:c r="G12" s="21" t="str">
        <x:v>P02_R2_Response_COMPLETED_v0.8.0.xlsx</x:v>
      </x:c>
    </x:row>
    <x:row r="13">
      <x:c r="A13" s="19" t="str">
        <x:v>P02</x:v>
      </x:c>
      <x:c r="B13" s="19" t="str">
        <x:v>After both</x:v>
      </x:c>
      <x:c r="C13" s="19" t="str">
        <x:v>Final Comparison</x:v>
      </x:c>
      <x:c r="D13" s="19" t="str">
        <x:v>D2</x:v>
      </x:c>
      <x:c r="E13" s="19" t="str">
        <x:v>Why did you prefer that condition, or why was there no preference?</x:v>
      </x:c>
      <x:c r="F13" s="19" t="str">
        <x:v>I favoured the Prototype because incomplete verification remained explicit and prevented closure. Under the spreadsheet condition, reaching the same judgement relied on coordinating several fields distributed across worksheets.</x:v>
      </x:c>
      <x:c r="G13" s="19" t="str">
        <x:v>P02_R2_Response_COMPLETED_v0.8.0.xlsx</x:v>
      </x:c>
    </x:row>
    <x:row r="14">
      <x:c r="A14" s="21" t="str">
        <x:v>P02</x:v>
      </x:c>
      <x:c r="B14" s="21" t="str">
        <x:v>After both</x:v>
      </x:c>
      <x:c r="C14" s="21" t="str">
        <x:v>Final Comparison</x:v>
      </x:c>
      <x:c r="D14" s="21" t="str">
        <x:v>D7</x:v>
      </x:c>
      <x:c r="E14" s="21" t="str">
        <x:v>What conditions would need to be in place before you adopted the Prototype?</x:v>
      </x:c>
      <x:c r="F14" s="21" t="str">
        <x:v>Use in research would require stable references, access to the whole transcript and an intelligible provenance record. Validation should additionally cover messier interview material rather than only controlled examples.</x:v>
      </x:c>
      <x:c r="G14" s="21" t="str">
        <x:v>P02_R2_Response_COMPLETED_v0.8.0.xlsx</x:v>
      </x:c>
    </x:row>
    <x:row r="15">
      <x:c r="A15" s="19" t="str">
        <x:v>P02</x:v>
      </x:c>
      <x:c r="B15" s="19" t="str">
        <x:v>After both</x:v>
      </x:c>
      <x:c r="C15" s="19" t="str">
        <x:v>Final Comparison</x:v>
      </x:c>
      <x:c r="D15" s="19" t="str">
        <x:v>D8</x:v>
      </x:c>
      <x:c r="E15" s="19" t="str">
        <x:v>What would make you reject or stop using it?</x:v>
      </x:c>
      <x:c r="F15" s="19" t="str">
        <x:v>I would discontinue use if lexical similarity began to stand in for evidential support, or if the design made the wider conversational context less accessible.</x:v>
      </x:c>
      <x:c r="G15" s="19" t="str">
        <x:v>P02_R2_Response_COMPLETED_v0.8.0.xlsx</x:v>
      </x:c>
    </x:row>
    <x:row r="16">
      <x:c r="A16" s="21" t="str">
        <x:v>P02</x:v>
      </x:c>
      <x:c r="B16" s="21" t="str">
        <x:v>After both</x:v>
      </x:c>
      <x:c r="C16" s="21" t="str">
        <x:v>Final Comparison</x:v>
      </x:c>
      <x:c r="D16" s="21" t="str">
        <x:v>D9</x:v>
      </x:c>
      <x:c r="E16" s="21" t="str">
        <x:v>What should be changed first?</x:v>
      </x:c>
      <x:c r="F16" s="21" t="str">
        <x:v>Present the quotation alongside the proposition under review. A failed test should identify the nature of the discrepancy, rather than returning a generic result.</x:v>
      </x:c>
      <x:c r="G16" s="21" t="str">
        <x:v>P02_R2_Response_COMPLETED_v0.8.0.xlsx</x:v>
      </x:c>
    </x:row>
    <x:row r="17">
      <x:c r="A17" s="19" t="str">
        <x:v>P02</x:v>
      </x:c>
      <x:c r="B17" s="19" t="str">
        <x:v>Manual</x:v>
      </x:c>
      <x:c r="C17" s="19" t="str">
        <x:v>Post-Condition</x:v>
      </x:c>
      <x:c r="D17" s="19" t="str">
        <x:v>PC10</x:v>
      </x:c>
      <x:c r="E17" s="19" t="str">
        <x:v>What was most difficult or useful in this condition?</x:v>
      </x:c>
      <x:c r="F17" s="19" t="str">
        <x:v>E1 illustrates the problem well. B-M02 was relevant, but the verb 'announced' exceeded the account in the transcript. Establishing that difference across separate worksheets was inefficient.</x:v>
      </x:c>
      <x:c r="G17" s="19" t="str">
        <x:v>P02_R2_Response_COMPLETED_v0.8.0.xlsx</x:v>
      </x:c>
    </x:row>
    <x:row r="18">
      <x:c r="A18" s="21" t="str">
        <x:v>P02</x:v>
      </x:c>
      <x:c r="B18" s="21" t="str">
        <x:v>Prototype</x:v>
      </x:c>
      <x:c r="C18" s="21" t="str">
        <x:v>Post-Condition</x:v>
      </x:c>
      <x:c r="D18" s="21" t="str">
        <x:v>PC10</x:v>
      </x:c>
      <x:c r="E18" s="21" t="str">
        <x:v>What was most difficult or useful in this condition?</x:v>
      </x:c>
      <x:c r="F18" s="21" t="str">
        <x:v>The failed release item was the most informative case. Its citation concerned the same journey, yet did not provide a warrant for the proposed statement. Assessing that boundary required more effort than finding the passage.</x:v>
      </x:c>
      <x:c r="G18" s="21" t="str">
        <x:v>P02_R1_Response_COMPLETED_v0.8.0.xlsx</x:v>
      </x:c>
    </x:row>
    <x:row r="19">
      <x:c r="A19" s="19" t="str">
        <x:v>P03</x:v>
      </x:c>
      <x:c r="B19" s="19" t="str">
        <x:v>After both</x:v>
      </x:c>
      <x:c r="C19" s="19" t="str">
        <x:v>Final Comparison</x:v>
      </x:c>
      <x:c r="D19" s="19" t="str">
        <x:v>D10</x:v>
      </x:c>
      <x:c r="E19" s="19" t="str">
        <x:v>Where did the Prototype add the most value, if anywhere?</x:v>
      </x:c>
      <x:c r="F19" s="19" t="str">
        <x:v>Primary value was the controlled gate before release. The decisive artefact was the correction trail explaining the final treatment of E3 through E6.</x:v>
      </x:c>
      <x:c r="G19" s="19" t="str">
        <x:v>P03_R2_Response_COMPLETED_v0.8.0.xlsx</x:v>
      </x:c>
    </x:row>
    <x:row r="20">
      <x:c r="A20" s="21" t="str">
        <x:v>P03</x:v>
      </x:c>
      <x:c r="B20" s="21" t="str">
        <x:v>After both</x:v>
      </x:c>
      <x:c r="C20" s="21" t="str">
        <x:v>Final Comparison</x:v>
      </x:c>
      <x:c r="D20" s="21" t="str">
        <x:v>D2</x:v>
      </x:c>
      <x:c r="E20" s="21" t="str">
        <x:v>Why did you prefer that condition, or why was there no preference?</x:v>
      </x:c>
      <x:c r="F20" s="21" t="str">
        <x:v>Prototype. It worked as a pre-sign-off control, with one inspection path from assertion to anchor to disposition. The E4/E5 corrections also revealed where operator vigilance is still required.</x:v>
      </x:c>
      <x:c r="G20" s="21" t="str">
        <x:v>P03_R2_Response_COMPLETED_v0.8.0.xlsx</x:v>
      </x:c>
    </x:row>
    <x:row r="21">
      <x:c r="A21" s="19" t="str">
        <x:v>P03</x:v>
      </x:c>
      <x:c r="B21" s="19" t="str">
        <x:v>After both</x:v>
      </x:c>
      <x:c r="C21" s="19" t="str">
        <x:v>Final Comparison</x:v>
      </x:c>
      <x:c r="D21" s="19" t="str">
        <x:v>D7</x:v>
      </x:c>
      <x:c r="E21" s="19" t="str">
        <x:v>What conditions would need to be in place before you adopted the Prototype?</x:v>
      </x:c>
      <x:c r="F21" s="19" t="str">
        <x:v>Entry conditions: sample-check source anchors; lock revision history; assign different states to unsupported content and unanswered requirements.</x:v>
      </x:c>
      <x:c r="G21" s="19" t="str">
        <x:v>P03_R2_Response_COMPLETED_v0.8.0.xlsx</x:v>
      </x:c>
    </x:row>
    <x:row r="22">
      <x:c r="A22" s="21" t="str">
        <x:v>P03</x:v>
      </x:c>
      <x:c r="B22" s="21" t="str">
        <x:v>After both</x:v>
      </x:c>
      <x:c r="C22" s="21" t="str">
        <x:v>Final Comparison</x:v>
      </x:c>
      <x:c r="D22" s="21" t="str">
        <x:v>D8</x:v>
      </x:c>
      <x:c r="E22" s="21" t="str">
        <x:v>What would make you reject or stop using it?</x:v>
      </x:c>
      <x:c r="F22" s="21" t="str">
        <x:v>Stop criterion: approval conceals a prior correction, or topical relevance is allowed to pass as substantiation.</x:v>
      </x:c>
      <x:c r="G22" s="21" t="str">
        <x:v>P03_R2_Response_COMPLETED_v0.8.0.xlsx</x:v>
      </x:c>
    </x:row>
    <x:row r="23">
      <x:c r="A23" s="19" t="str">
        <x:v>P03</x:v>
      </x:c>
      <x:c r="B23" s="19" t="str">
        <x:v>After both</x:v>
      </x:c>
      <x:c r="C23" s="19" t="str">
        <x:v>Final Comparison</x:v>
      </x:c>
      <x:c r="D23" s="19" t="str">
        <x:v>D9</x:v>
      </x:c>
      <x:c r="E23" s="19" t="str">
        <x:v>What should be changed first?</x:v>
      </x:c>
      <x:c r="F23" s="19" t="str">
        <x:v>Create two separate failure labels—'unsupported assertion' and 'coverage gap'—then display the quoted source at the decision point.</x:v>
      </x:c>
      <x:c r="G23" s="19" t="str">
        <x:v>P03_R2_Response_COMPLETED_v0.8.0.xlsx</x:v>
      </x:c>
    </x:row>
    <x:row r="24">
      <x:c r="A24" s="21" t="str">
        <x:v>P03</x:v>
      </x:c>
      <x:c r="B24" s="21" t="str">
        <x:v>Manual</x:v>
      </x:c>
      <x:c r="C24" s="21" t="str">
        <x:v>Post-Condition</x:v>
      </x:c>
      <x:c r="D24" s="21" t="str">
        <x:v>PC10</x:v>
      </x:c>
      <x:c r="E24" s="21" t="str">
        <x:v>What was most difficult or useful in this condition?</x:v>
      </x:c>
      <x:c r="F24" s="21" t="str">
        <x:v>Longest check: E3. Initial disposition was exclusion; B-M08 plus B-M10 justified salvage after narrowing. The phrases 'immediately obvious' and 'no extra time' did not survive review.</x:v>
      </x:c>
      <x:c r="G24" s="21" t="str">
        <x:v>P03_R1_Response_COMPLETED_v0.8.0.xlsx</x:v>
      </x:c>
    </x:row>
    <x:row r="25">
      <x:c r="A25" s="20" t="str">
        <x:v>P03</x:v>
      </x:c>
      <x:c r="B25" s="20" t="str">
        <x:v>Prototype</x:v>
      </x:c>
      <x:c r="C25" s="20" t="str">
        <x:v>Post-Condition</x:v>
      </x:c>
      <x:c r="D25" s="20" t="str">
        <x:v>PC10</x:v>
      </x:c>
      <x:c r="E25" s="20" t="str">
        <x:v>What was most difficult or useful in this condition?</x:v>
      </x:c>
      <x:c r="F25" s="20" t="str">
        <x:v>Three control actions were needed. E4 failed substantiation; E6 recorded a protocol omission; E5 was reopened so its final anchor could be checked against the completion answer.</x:v>
      </x:c>
      <x:c r="G25" s="20" t="str">
        <x:v>P03_R2_Response_COMPLETED_v0.8.0.xlsx</x:v>
      </x:c>
    </x:row>
  </x:sheetData>
  <x:mergeCells>
    <x:mergeCell ref="A1:G1"/>
    <x:mergeCell ref="A2:G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4" hidden="0" customWidth="1"/>
    <x:col min="4" max="4" width="24" hidden="0" customWidth="1"/>
    <x:col min="5" max="5" width="56" hidden="0" customWidth="1"/>
    <x:col min="6" max="6" width="26" hidden="0" customWidth="1"/>
    <x:col min="7" max="7" width="48" hidden="0" customWidth="1"/>
    <x:col min="8" max="8" width="44" hidden="0" customWidth="1"/>
  </x:cols>
  <x:sheetData>
    <x:row r="1" ht="30" customHeight="1">
      <x:c r="A1" s="3" t="str">
        <x:v>验证证据链 / Validation Evidence Chain</x:v>
      </x:c>
      <x:c r="B1" s="3"/>
      <x:c r="C1" s="3"/>
      <x:c r="D1" s="3"/>
      <x:c r="E1" s="3"/>
      <x:c r="F1" s="3"/>
      <x:c r="G1" s="3"/>
      <x:c r="H1" s="3"/>
    </x:row>
    <x:row r="2" ht="34" customHeight="1">
      <x:c r="A2" s="7" t="str">
        <x:v>Pilot、Gold、正式n=3与伦理材料分层列示，避免把程序验证、评分依据和正式结果混为同一种证据。</x:v>
      </x:c>
      <x:c r="B2" s="7"/>
      <x:c r="C2" s="7"/>
      <x:c r="D2" s="7"/>
      <x:c r="E2" s="7"/>
      <x:c r="F2" s="7"/>
      <x:c r="G2" s="7"/>
      <x:c r="H2" s="7"/>
    </x:row>
    <x:row r="4" ht="30" customHeight="1">
      <x:c r="A4" s="14" t="str">
        <x:v>Stage</x:v>
      </x:c>
      <x:c r="B4" s="14" t="str">
        <x:v>Person(s)</x:v>
      </x:c>
      <x:c r="C4" s="14" t="str">
        <x:v>Purpose</x:v>
      </x:c>
      <x:c r="D4" s="14" t="str">
        <x:v>Status</x:v>
      </x:c>
      <x:c r="E4" s="14" t="str">
        <x:v>Key evidence</x:v>
      </x:c>
      <x:c r="F4" s="14" t="str">
        <x:v>Use in analysis</x:v>
      </x:c>
      <x:c r="G4" s="14" t="str">
        <x:v>Primary source</x:v>
      </x:c>
      <x:c r="H4" s="14" t="str">
        <x:v>Boundary / note</x:v>
      </x:c>
    </x:row>
    <x:row r="5" ht="66" customHeight="1">
      <x:c r="A5" s="19" t="str">
        <x:v>Pilot-01</x:v>
      </x:c>
      <x:c r="B5" s="19" t="str">
        <x:v>Pilot01</x:v>
      </x:c>
      <x:c r="C5" s="19" t="str">
        <x:v>Procedure pilot</x:v>
      </x:c>
      <x:c r="D5" s="19" t="str">
        <x:v>Final archive</x:v>
      </x:c>
      <x:c r="E5" s="19" t="str">
        <x:v>Manual 824s; Prototype 527s; Prototype preferred; post-pilot identity/save changes documented</x:v>
      </x:c>
      <x:c r="F5" s="19" t="str">
        <x:v>Excluded from formal n=3</x:v>
      </x:c>
      <x:c r="G5" s="19" t="str">
        <x:v>PurrStone_Pilot01_Pilot_ARCHIVE_FINAL_v0.6.zip</x:v>
      </x:c>
      <x:c r="H5" s="19" t="str">
        <x:v>Retains excluded earlier sessions inside sealed archive</x:v>
      </x:c>
    </x:row>
    <x:row r="6" ht="66" customHeight="1">
      <x:c r="A6" s="21" t="str">
        <x:v>Pilot-02</x:v>
      </x:c>
      <x:c r="B6" s="21" t="str">
        <x:v>Pilot01</x:v>
      </x:c>
      <x:c r="C6" s="21" t="str">
        <x:v>Six-item release check</x:v>
      </x:c>
      <x:c r="D6" s="21" t="str">
        <x:v>Release without amendment</x:v>
      </x:c>
      <x:c r="E6" s="21" t="str">
        <x:v>All six decisions completed in both conditions; no blocking issue; 25-minute limit acceptable</x:v>
      </x:c>
      <x:c r="F6" s="21" t="str">
        <x:v>Excluded from formal n=3</x:v>
      </x:c>
      <x:c r="G6" s="21" t="str">
        <x:v>Pilot01_Pilot02_RETURN_PACKAGE_v0.8.0_2026-08-11.zip</x:v>
      </x:c>
      <x:c r="H6" s="21" t="str">
        <x:v>Run before formal release; no material amendment</x:v>
      </x:c>
    </x:row>
    <x:row r="7" ht="66" customHeight="1">
      <x:c r="A7" s="19" t="str">
        <x:v>Gold review</x:v>
      </x:c>
      <x:c r="B7" s="19" t="str">
        <x:v>GoldReviewer01</x:v>
      </x:c>
      <x:c r="C7" s="19" t="str">
        <x:v>Independent answer-key review</x:v>
      </x:c>
      <x:c r="D7" s="19" t="str">
        <x:v>Confirmed / Freeze</x:v>
      </x:c>
      <x:c r="E7" s="19" t="str">
        <x:v>24/24 Topic rows and 36/36 Item rows confirmed; no amendments required</x:v>
      </x:c>
      <x:c r="F7" s="19" t="str">
        <x:v>Scoring authority</x:v>
      </x:c>
      <x:c r="G7" s="19" t="str">
        <x:v>PurrStone_Gold_Review_GoldReviewer01_v0.8.0_COMPLETED_2026-08-11.xlsx</x:v>
      </x:c>
      <x:c r="H7" s="19" t="str">
        <x:v>Initial review and amendment reply retained separately</x:v>
      </x:c>
    </x:row>
    <x:row r="8" ht="66" customHeight="1">
      <x:c r="A8" s="21" t="str">
        <x:v>Formal study</x:v>
      </x:c>
      <x:c r="B8" s="21" t="str">
        <x:v>P01–P03</x:v>
      </x:c>
      <x:c r="C8" s="21" t="str">
        <x:v>Matched Manual/Prototype review</x:v>
      </x:c>
      <x:c r="D8" s="21" t="str">
        <x:v>Complete</x:v>
      </x:c>
      <x:c r="E8" s="21" t="str">
        <x:v>3 protocols; 6 condition runs; 24 Topic and 36 Item judgements</x:v>
      </x:c>
      <x:c r="F8" s="21" t="str">
        <x:v>Exploratory descriptive evidence</x:v>
      </x:c>
      <x:c r="G8" s="21" t="str">
        <x:v>Three final return ZIPs dated 2026-08-11</x:v>
      </x:c>
      <x:c r="H8" s="21" t="str">
        <x:v>No inferential claim</x:v>
      </x:c>
    </x:row>
    <x:row r="9" ht="66" customHeight="1">
      <x:c r="A9" s="20" t="str">
        <x:v>Governance record</x:v>
      </x:c>
      <x:c r="B9" s="20" t="str">
        <x:v>Project records</x:v>
      </x:c>
      <x:c r="C9" s="20" t="str">
        <x:v>Ethics and consent documentation</x:v>
      </x:c>
      <x:c r="D9" s="20" t="str">
        <x:v>Archived</x:v>
      </x:c>
      <x:c r="E9" s="20" t="str">
        <x:v>Study documentation retained</x:v>
      </x:c>
      <x:c r="F9" s="20" t="str">
        <x:v>Governance evidence</x:v>
      </x:c>
      <x:c r="G9" s="20" t="str">
        <x:v>Ethics and consent records</x:v>
      </x:c>
      <x:c r="H9" s="20" t="str">
        <x:v>Stored separately from analysis data</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17" hidden="0" customWidth="1"/>
    <x:col min="3" max="3" width="48" hidden="0" customWidth="1"/>
    <x:col min="4" max="4" width="48" hidden="0" customWidth="1"/>
    <x:col min="5" max="5" width="48" hidden="0" customWidth="1"/>
    <x:col min="6" max="6" width="24" hidden="0" customWidth="1"/>
    <x:col min="7" max="7" width="34" hidden="0" customWidth="1"/>
    <x:col min="8" max="8" width="18" hidden="0" customWidth="1"/>
  </x:cols>
  <x:sheetData>
    <x:row r="1" ht="30" customHeight="1">
      <x:c r="A1" s="3" t="str">
        <x:v>偏差与来源说明 / Deviation and Provenance Log</x:v>
      </x:c>
      <x:c r="B1" s="3"/>
      <x:c r="C1" s="3"/>
      <x:c r="D1" s="3"/>
      <x:c r="E1" s="3"/>
      <x:c r="F1" s="3"/>
      <x:c r="G1" s="3"/>
      <x:c r="H1" s="3"/>
    </x:row>
    <x:row r="2" ht="34" customHeight="1">
      <x:c r="A2" s="7" t="str">
        <x:v>记录影响解释或来源判断的事项；原始评分与研究者判断保持不变。</x:v>
      </x:c>
      <x:c r="B2" s="7"/>
      <x:c r="C2" s="7"/>
      <x:c r="D2" s="7"/>
      <x:c r="E2" s="7"/>
      <x:c r="F2" s="7"/>
      <x:c r="G2" s="7"/>
      <x:c r="H2" s="7"/>
    </x:row>
    <x:row r="4" ht="30" customHeight="1">
      <x:c r="A4" s="14" t="str">
        <x:v>ID</x:v>
      </x:c>
      <x:c r="B4" s="14" t="str">
        <x:v>Area</x:v>
      </x:c>
      <x:c r="C4" s="14" t="str">
        <x:v>Issue</x:v>
      </x:c>
      <x:c r="D4" s="14" t="str">
        <x:v>Affected data</x:v>
      </x:c>
      <x:c r="E4" s="14" t="str">
        <x:v>Required interpretation</x:v>
      </x:c>
      <x:c r="F4" s="14" t="str">
        <x:v>Treatment</x:v>
      </x:c>
      <x:c r="G4" s="14" t="str">
        <x:v>Source</x:v>
      </x:c>
      <x:c r="H4" s="14" t="str">
        <x:v>Status</x:v>
      </x:c>
    </x:row>
    <x:row r="5" ht="60" customHeight="1">
      <x:c r="A5" s="19" t="str">
        <x:v>D01</x:v>
      </x:c>
      <x:c r="B5" s="19" t="str">
        <x:v>Objective timing</x:v>
      </x:c>
      <x:c r="C5" s="19" t="str">
        <x:v>PC11 records active review time for each completed condition</x:v>
      </x:c>
      <x:c r="D5" s="19" t="str">
        <x:v>Six objective active-time records</x:v>
      </x:c>
      <x:c r="E5" s="19" t="str">
        <x:v>Use as a descriptive n=3 timing comparison</x:v>
      </x:c>
      <x:c r="F5" s="19" t="str">
        <x:v>Retained</x:v>
      </x:c>
      <x:c r="G5" s="19" t="str">
        <x:v>Formal response forms</x:v>
      </x:c>
      <x:c r="H5" s="19" t="str">
        <x:v>Closed / verified</x:v>
      </x:c>
    </x:row>
    <x:row r="6" ht="60" customHeight="1">
      <x:c r="A6" s="21" t="str">
        <x:v>D02</x:v>
      </x:c>
      <x:c r="B6" s="21" t="str">
        <x:v>Negative case</x:v>
      </x:c>
      <x:c r="C6" s="21" t="str">
        <x:v>P01 Manual falsely approved E3 and E6 and missed topic missingness</x:v>
      </x:c>
      <x:c r="D6" s="21" t="str">
        <x:v>P01 Manual score 3/4 Topic, 4/6 Item</x:v>
      </x:c>
      <x:c r="E6" s="21" t="str">
        <x:v>Retain as negative case; do not repair</x:v>
      </x:c>
      <x:c r="F6" s="21" t="str">
        <x:v>Retained</x:v>
      </x:c>
      <x:c r="G6" s="21" t="str">
        <x:v>P01 R1 Manual</x:v>
      </x:c>
      <x:c r="H6" s="21" t="str">
        <x:v>Closed / documented</x:v>
      </x:c>
    </x:row>
    <x:row r="7" ht="60" customHeight="1">
      <x:c r="A7" s="19" t="str">
        <x:v>D03</x:v>
      </x:c>
      <x:c r="B7" s="19" t="str">
        <x:v>Prototype audit</x:v>
      </x:c>
      <x:c r="C7" s="19" t="str">
        <x:v>Repeated save events in some HTML histories</x:v>
      </x:c>
      <x:c r="D7" s="19" t="str">
        <x:v>P02: E6 edit twice, E5 approve twice; P03: E5 approve three times</x:v>
      </x:c>
      <x:c r="E7" s="19" t="str">
        <x:v>Preserve append-only history; score the final P02 E5 source separately under D14</x:v>
      </x:c>
      <x:c r="F7" s="19" t="str">
        <x:v>Retained</x:v>
      </x:c>
      <x:c r="G7" s="19" t="str">
        <x:v>P02/P03 HTML</x:v>
      </x:c>
      <x:c r="H7" s="19" t="str">
        <x:v>Closed / documented</x:v>
      </x:c>
    </x:row>
    <x:row r="8" ht="60" customHeight="1">
      <x:c r="A8" s="21" t="str">
        <x:v>D04</x:v>
      </x:c>
      <x:c r="B8" s="21" t="str">
        <x:v>Provenance</x:v>
      </x:c>
      <x:c r="C8" s="21" t="str">
        <x:v>Final formal Excel files contain PC11 timing records</x:v>
      </x:c>
      <x:c r="D8" s="21" t="str">
        <x:v>Six condition workbooks</x:v>
      </x:c>
      <x:c r="E8" s="21" t="str">
        <x:v>Use current final ZIP hashes as authority</x:v>
      </x:c>
      <x:c r="F8" s="21" t="str">
        <x:v>Retained</x:v>
      </x:c>
      <x:c r="G8" s="21" t="str">
        <x:v>Three final ZIPs</x:v>
      </x:c>
      <x:c r="H8" s="21" t="str">
        <x:v>Closed / verified</x:v>
      </x:c>
    </x:row>
    <x:row r="9" ht="60" customHeight="1">
      <x:c r="A9" s="19" t="str">
        <x:v>D05</x:v>
      </x:c>
      <x:c r="B9" s="19" t="str">
        <x:v>Governance</x:v>
      </x:c>
      <x:c r="C9" s="19" t="str">
        <x:v>Ethics and consent records archived</x:v>
      </x:c>
      <x:c r="D9" s="19" t="str">
        <x:v>Research governance documents</x:v>
      </x:c>
      <x:c r="E9" s="19" t="str">
        <x:v>Retain with the validation package</x:v>
      </x:c>
      <x:c r="F9" s="19" t="str">
        <x:v>Retained</x:v>
      </x:c>
      <x:c r="G9" s="19" t="str">
        <x:v>Ethics / consent folder</x:v>
      </x:c>
      <x:c r="H9" s="19" t="str">
        <x:v>Closed / verified</x:v>
      </x:c>
    </x:row>
    <x:row r="10" ht="60" customHeight="1">
      <x:c r="A10" s="21" t="str">
        <x:v>D06</x:v>
      </x:c>
      <x:c r="B10" s="21" t="str">
        <x:v>Consent</x:v>
      </x:c>
      <x:c r="C10" s="21" t="str">
        <x:v>Four v0.2 consent documents retained</x:v>
      </x:c>
      <x:c r="D10" s="21" t="str">
        <x:v>Pilot01 and P01–P03 forms</x:v>
      </x:c>
      <x:c r="E10" s="21" t="str">
        <x:v>Use the current filed versions</x:v>
      </x:c>
      <x:c r="F10" s="21" t="str">
        <x:v>Retained</x:v>
      </x:c>
      <x:c r="G10" s="21" t="str">
        <x:v>Consent DOCX files</x:v>
      </x:c>
      <x:c r="H10" s="21" t="str">
        <x:v>Closed / verified</x:v>
      </x:c>
    </x:row>
    <x:row r="11" ht="60" customHeight="1">
      <x:c r="A11" s="19" t="str">
        <x:v>D07</x:v>
      </x:c>
      <x:c r="B11" s="19" t="str">
        <x:v>Consent</x:v>
      </x:c>
      <x:c r="C11" s="19" t="str">
        <x:v>P01–P03 indicate all six consent items by yellow highlighting; names and dates are present</x:v>
      </x:c>
      <x:c r="D11" s="19" t="str">
        <x:v>P01 / P02 / P03</x:v>
      </x:c>
      <x:c r="E11" s="19" t="str">
        <x:v>Record as yellow-indicated, signed and dated consent</x:v>
      </x:c>
      <x:c r="F11" s="19" t="str">
        <x:v>Retained</x:v>
      </x:c>
      <x:c r="G11" s="19" t="str">
        <x:v>P01–P03 Consent</x:v>
      </x:c>
      <x:c r="H11" s="19" t="str">
        <x:v>Closed / verified</x:v>
      </x:c>
    </x:row>
    <x:row r="12" ht="60" customHeight="1">
      <x:c r="A12" s="21" t="str">
        <x:v>D08</x:v>
      </x:c>
      <x:c r="B12" s="21" t="str">
        <x:v>Consent</x:v>
      </x:c>
      <x:c r="C12" s="21" t="str">
        <x:v>Pilot01's six consent boxes are ticked; Gold reviewer role record retained separately</x:v>
      </x:c>
      <x:c r="D12" s="21" t="str">
        <x:v>Pilot and Gold records</x:v>
      </x:c>
      <x:c r="E12" s="21" t="str">
        <x:v>Retain consent and role records</x:v>
      </x:c>
      <x:c r="F12" s="21" t="str">
        <x:v>Retained</x:v>
      </x:c>
      <x:c r="G12" s="21" t="str">
        <x:v>Pilot archive / Gold records</x:v>
      </x:c>
      <x:c r="H12" s="21" t="str">
        <x:v>Closed / verified</x:v>
      </x:c>
    </x:row>
    <x:row r="13" ht="60" customHeight="1">
      <x:c r="A13" s="19" t="str">
        <x:v>D09</x:v>
      </x:c>
      <x:c r="B13" s="19" t="str">
        <x:v>Governance reference</x:v>
      </x:c>
      <x:c r="C13" s="19" t="str">
        <x:v>Consent files cite Imperial internal record ID=881</x:v>
      </x:c>
      <x:c r="D13" s="19" t="str">
        <x:v>Reference retained in governance records</x:v>
      </x:c>
      <x:c r="E13" s="19" t="str">
        <x:v>Use the archived reference</x:v>
      </x:c>
      <x:c r="F13" s="19" t="str">
        <x:v>Retained</x:v>
      </x:c>
      <x:c r="G13" s="19" t="str">
        <x:v>Consent documents</x:v>
      </x:c>
      <x:c r="H13" s="19" t="str">
        <x:v>Closed / verified</x:v>
      </x:c>
    </x:row>
    <x:row r="14" ht="60" customHeight="1">
      <x:c r="A14" s="21" t="str">
        <x:v>D10</x:v>
      </x:c>
      <x:c r="B14" s="21" t="str">
        <x:v>Timing provenance</x:v>
      </x:c>
      <x:c r="C14" s="21" t="str">
        <x:v>Formal P01–P03 workbooks contain PC11 active-time records</x:v>
      </x:c>
      <x:c r="D14" s="21" t="str">
        <x:v>Six objective condition timings</x:v>
      </x:c>
      <x:c r="E14" s="21" t="str">
        <x:v>Use PC11 values in descriptive timing analysis</x:v>
      </x:c>
      <x:c r="F14" s="21" t="str">
        <x:v>Retained</x:v>
      </x:c>
      <x:c r="G14" s="21" t="str">
        <x:v>Formal response forms</x:v>
      </x:c>
      <x:c r="H14" s="21" t="str">
        <x:v>Closed / verified</x:v>
      </x:c>
    </x:row>
    <x:row r="15" ht="60" customHeight="1">
      <x:c r="A15" s="19" t="str">
        <x:v>D11</x:v>
      </x:c>
      <x:c r="B15" s="19" t="str">
        <x:v>Versioning</x:v>
      </x:c>
      <x:c r="C15" s="19" t="str">
        <x:v>v0.7.1 Gold archive predates the v0.8.0 six-item completed review</x:v>
      </x:c>
      <x:c r="D15" s="19" t="str">
        <x:v>Both retained for different purposes</x:v>
      </x:c>
      <x:c r="E15" s="19" t="str">
        <x:v>Use v0.8.0 as scoring authority; v0.7.1 as method/freeze archive</x:v>
      </x:c>
      <x:c r="F15" s="19" t="str">
        <x:v>Retained</x:v>
      </x:c>
      <x:c r="G15" s="19" t="str">
        <x:v>Gold files</x:v>
      </x:c>
      <x:c r="H15" s="19" t="str">
        <x:v>Closed / documented</x:v>
      </x:c>
    </x:row>
    <x:row r="16" ht="60" customHeight="1">
      <x:c r="A16" s="22" t="str">
        <x:v>D12</x:v>
      </x:c>
      <x:c r="B16" s="22" t="str">
        <x:v>Scope</x:v>
      </x:c>
      <x:c r="C16" s="22" t="str">
        <x:v>Pilot-01 and Pilot-02 are excluded from formal n=3</x:v>
      </x:c>
      <x:c r="D16" s="22" t="str">
        <x:v>Pilot evidence validates procedure/release only</x:v>
      </x:c>
      <x:c r="E16" s="22" t="str">
        <x:v>Never pool Pilot ratings with formal results</x:v>
      </x:c>
      <x:c r="F16" s="22" t="str">
        <x:v>Retained</x:v>
      </x:c>
      <x:c r="G16" s="22" t="str">
        <x:v>Pilot files</x:v>
      </x:c>
      <x:c r="H16" s="22" t="str">
        <x:v>Closed / documented</x:v>
      </x:c>
    </x:row>
    <x:row r="17" ht="54" customHeight="1">
      <x:c r="A17" s="36" t="str">
        <x:v>D13</x:v>
      </x:c>
      <x:c r="B17" s="36" t="str">
        <x:v>Reproducibility</x:v>
      </x:c>
      <x:c r="C17" s="36" t="str">
        <x:v>Executable rebuild and integrity tests are retained</x:v>
      </x:c>
      <x:c r="D17" s="36" t="str">
        <x:v>Reproduction scripts, outputs and PASS test log</x:v>
      </x:c>
      <x:c r="E17" s="36" t="str">
        <x:v>Use the reproduction outputs and PASS test log</x:v>
      </x:c>
      <x:c r="F17" s="36" t="str">
        <x:v>Retained</x:v>
      </x:c>
      <x:c r="G17" s="36" t="str">
        <x:v>06_分析复现_Reproducibility</x:v>
      </x:c>
      <x:c r="H17" s="36" t="str">
        <x:v>Closed / documented</x:v>
      </x:c>
    </x:row>
    <x:row r="18" ht="72" customHeight="1">
      <x:c r="A18" t="str">
        <x:v>D14</x:v>
      </x:c>
      <x:c r="B18" t="str">
        <x:v>P02 Prototype source traceability</x:v>
      </x:c>
      <x:c r="C18" t="str">
        <x:v>NP02-A-E5 retained Participant response 3; Gold requires Participant response 4</x:v>
      </x:c>
      <x:c r="D18" t="str">
        <x:v>P02 Prototype: Item 5/6; issues 3/4; false approvals 1</x:v>
      </x:c>
      <x:c r="E18" t="str">
        <x:v>Retain as the researcher's source-link error; score E5 incorrect and as a false approval under the frozen Gold rule</x:v>
      </x:c>
      <x:c r="F18" t="str">
        <x:v>Retained</x:v>
      </x:c>
      <x:c r="G18" t="str">
        <x:v>Authoritative P02 HTML / Gold v0.8.0</x:v>
      </x:c>
      <x:c r="H18" t="str">
        <x:v>Closed / documented</x:v>
      </x:c>
    </x:row>
  </x:sheetData>
  <x:mergeCells>
    <x:mergeCell ref="A1:H1"/>
    <x:mergeCell ref="A2:H2"/>
  </x:mergeCells>
  <x:pageMargins left="0.7" right="0.7" top="0.75" bottom="0.75" header="0.3" footer="0.3"/>
</x:worksheet>
</file>