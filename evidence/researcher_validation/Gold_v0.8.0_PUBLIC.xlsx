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0cd738634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 Read Me" sheetId="1" r:id="R0e31d23da6dd4080"/>
    <x:sheet xmlns:r="http://schemas.openxmlformats.org/officeDocument/2006/relationships" name="NP01-A" sheetId="2" r:id="R24a07080c20e4dfa"/>
    <x:sheet xmlns:r="http://schemas.openxmlformats.org/officeDocument/2006/relationships" name="NP01-B" sheetId="3" r:id="Ra23e74cee2224b2f"/>
    <x:sheet xmlns:r="http://schemas.openxmlformats.org/officeDocument/2006/relationships" name="NP02-A" sheetId="4" r:id="R30a1ec513c014d43"/>
    <x:sheet xmlns:r="http://schemas.openxmlformats.org/officeDocument/2006/relationships" name="NP02-B" sheetId="5" r:id="R103f57cbd695448e"/>
    <x:sheet xmlns:r="http://schemas.openxmlformats.org/officeDocument/2006/relationships" name="NP03-A" sheetId="6" r:id="Rb90ddde8ffe4434d"/>
    <x:sheet xmlns:r="http://schemas.openxmlformats.org/officeDocument/2006/relationships" name="NP03-B" sheetId="7" r:id="R64b5fd2a31214fac"/>
    <x:sheet xmlns:r="http://schemas.openxmlformats.org/officeDocument/2006/relationships" name="Topic Gold Review" sheetId="8" r:id="Rcebb79c6cbb6479c"/>
    <x:sheet xmlns:r="http://schemas.openxmlformats.org/officeDocument/2006/relationships" name="Item Gold Review" sheetId="9" r:id="R163e32961b994c7d"/>
    <x:sheet xmlns:r="http://schemas.openxmlformats.org/officeDocument/2006/relationships" name="Review Summary" sheetId="10" r:id="R3f382dff66824876"/>
  </x:sheets>
</x:workbook>
</file>

<file path=xl/sharedStrings.xml><?xml version="1.0" encoding="utf-8"?>
<x:sst xmlns:x="http://schemas.openxmlformats.org/spreadsheetml/2006/main">
  <x:si>
    <x:t xml:space="preserve">PRIVATE Gold review — six-item design</x:t>
  </x:si>
  <x:si>
    <x:t xml:space="preserve">Field</x:t>
  </x:si>
  <x:si>
    <x:t xml:space="preserve">Value</x:t>
  </x:si>
  <x:si>
    <x:t xml:space="preserve">Requirement</x:t>
  </x:si>
  <x:si>
    <x:t xml:space="preserve">Reviewer input</x:t>
  </x:si>
  <x:si>
    <x:t xml:space="preserve">Status</x:t>
  </x:si>
  <x:si>
    <x:t xml:space="preserve">Note</x:t>
  </x:si>
  <x:si>
    <x:t xml:space="preserve">Study ID</x:t>
  </x:si>
  <x:si>
    <x:t xml:space="preserve">PS-TRV-2026-01</x:t>
  </x:si>
  <x:si>
    <x:t xml:space="preserve">Fixed</x:t>
  </x:si>
  <x:si>
    <x:t xml:space="preserve">Design</x:t>
  </x:si>
  <x:si>
    <x:t xml:space="preserve">Six candidates per Case: 2 supported, 1 partial, 1 unsupported, 1 wrong source, 1 false sufficient/missingness</x:t>
  </x:si>
  <x:si>
    <x:t xml:space="preserve">Binding</x:t>
  </x:si>
  <x:si>
    <x:t xml:space="preserve">Cases</x:t>
  </x:si>
  <x:si>
    <x:t xml:space="preserve">NP01-A/B, NP02-A/B, NP03-A/B</x:t>
  </x:si>
  <x:si>
    <x:t xml:space="preserve">Item Gold rows</x:t>
  </x:si>
  <x:si>
    <x:t xml:space="preserve">Every row must be Confirm or Amend</x:t>
  </x:si>
  <x:si>
    <x:t xml:space="preserve">Topic Gold rows</x:t>
  </x:si>
  <x:si>
    <x:t xml:space="preserve">Pilot</x:t>
  </x:si>
  <x:si>
    <x:t xml:space="preserve">Pilot-02 must occur before formal release</x:t>
  </x:si>
  <x:si>
    <x:t xml:space="preserve">If Pilot changes materials, re-review affected Gold</x:t>
  </x:si>
  <x:si>
    <x:t xml:space="preserve">Final confirmation</x:t>
  </x:si>
  <x:si>
    <x:t xml:space="preserve">I independently reviewed the proposed Gold against the supplied Protocols and transcripts.</x:t>
  </x:si>
  <x:si>
    <x:t xml:space="preserve">Yes required</x:t>
  </x:si>
  <x:si>
    <x:t xml:space="preserve">Reviewer name</x:t>
  </x:si>
  <x:si>
    <x:t xml:space="preserve">Required</x:t>
  </x:si>
  <x:si>
    <x:t xml:space="preserve">Review date</x:t>
  </x:si>
  <x:si>
    <x:t xml:space="preserve">All amendments resolved?</x:t>
  </x:si>
  <x:si>
    <x:t xml:space="preserve">Yes required before freeze</x:t>
  </x:si>
  <x:si>
    <x:t xml:space="preserve">Freeze recommendation</x:t>
  </x:si>
  <x:si>
    <x:t xml:space="preserve">Freeze / Do not freeze</x:t>
  </x:si>
  <x:si>
    <x:t xml:space="preserve">NP01-A — Case material</x:t>
  </x:si>
  <x:si>
    <x:t xml:space="preserve">Hybrid Meeting Participation Interview · controlled synthetic source</x:t>
  </x:si>
  <x:si>
    <x:t xml:space="preserve">Topic</x:t>
  </x:si>
  <x:si>
    <x:t xml:space="preserve">Primary question</x:t>
  </x:si>
  <x:si>
    <x:t xml:space="preserve">Required information</x:t>
  </x:si>
  <x:si>
    <x:t xml:space="preserve">Initial displayed status</x:t>
  </x:si>
  <x:si>
    <x:t xml:space="preserve">Correct status</x:t>
  </x:si>
  <x:si>
    <x:t xml:space="preserve">Correct missing information</x:t>
  </x:si>
  <x:si>
    <x:t xml:space="preserve">Reviewer note</x:t>
  </x:si>
  <x:si>
    <x:t xml:space="preserve">Meeting context</x:t>
  </x:si>
  <x:si>
    <x:t xml:space="preserve">Please describe one recent hybrid meeting in which you participated.</x:t>
  </x:si>
  <x:si>
    <x:t xml:space="preserve">participant role or location; meeting purpose or format</x:t>
  </x:si>
  <x:si>
    <x:t xml:space="preserve">sufficient</x:t>
  </x:si>
  <x:si>
    <x:t xml:space="preserve">fully_answered</x:t>
  </x:si>
  <x:si>
    <x:t xml:space="preserve">Following and contributing</x:t>
  </x:si>
  <x:si>
    <x:t xml:space="preserve">What made it easier or harder for you to follow the discussion and contribute?</x:t>
  </x:si>
  <x:si>
    <x:t xml:space="preserve">specific participation enabler or barrier; effect on following or contributing</x:t>
  </x:si>
  <x:si>
    <x:t xml:space="preserve">Breakdown and response</x:t>
  </x:si>
  <x:si>
    <x:t xml:space="preserve">Was there a point when the meeting did not work well for you, and what did you do?</x:t>
  </x:si>
  <x:si>
    <x:t xml:space="preserve">specific meeting breakdown; participant response or workaround</x:t>
  </x:si>
  <x:si>
    <x:t xml:space="preserve">Improvement priority</x:t>
  </x:si>
  <x:si>
    <x:t xml:space="preserve">What one change would most improve a similar hybrid meeting, and why?</x:t>
  </x:si>
  <x:si>
    <x:t xml:space="preserve">proposed change; expected benefit or prevented problem</x:t>
  </x:si>
  <x:si>
    <x:t xml:space="preserve">partially_answered</x:t>
  </x:si>
  <x:si>
    <x:t xml:space="preserve">expected benefit or prevented problem</x:t>
  </x:si>
  <x:si>
    <x:t xml:space="preserve">Message ID</x:t>
  </x:si>
  <x:si>
    <x:t xml:space="preserve">Speaker</x:t>
  </x:si>
  <x:si>
    <x:t xml:space="preserve">Content</x:t>
  </x:si>
  <x:si>
    <x:t xml:space="preserve">A-M01</x:t>
  </x:si>
  <x:si>
    <x:t xml:space="preserve">Agent</x:t>
  </x:si>
  <x:si>
    <x:t xml:space="preserve">A-M02</x:t>
  </x:si>
  <x:si>
    <x:t xml:space="preserve">Participant</x:t>
  </x:si>
  <x:si>
    <x:t xml:space="preserve">I joined from home as the remote project coordinator. It was our weekly planning meeting, with four people together in a meeting room and me online.</x:t>
  </x:si>
  <x:si>
    <x:t xml:space="preserve">A-M03</x:t>
  </x:si>
  <x:si>
    <x:t xml:space="preserve">A-M04</x:t>
  </x:si>
  <x:si>
    <x:t xml:space="preserve">People in the room often spoke to each other without looking at the chat, especially when they were deciding the order of tasks.</x:t>
  </x:si>
  <x:si>
    <x:t xml:space="preserve">A-M05</x:t>
  </x:si>
  <x:si>
    <x:t xml:space="preserve">How did that affect your ability to follow the discussion or contribute?</x:t>
  </x:si>
  <x:si>
    <x:t xml:space="preserve">A-M06</x:t>
  </x:si>
  <x:si>
    <x:t xml:space="preserve">I missed the moment when one decision was made, and I only added my point after someone directly invited me to speak.</x:t>
  </x:si>
  <x:si>
    <x:t xml:space="preserve">A-M07</x:t>
  </x:si>
  <x:si>
    <x:t xml:space="preserve">A-M08</x:t>
  </x:si>
  <x:si>
    <x:t xml:space="preserve">The shared slides froze for me for several minutes while the people in the room kept moving through them.</x:t>
  </x:si>
  <x:si>
    <x:t xml:space="preserve">A-M09</x:t>
  </x:si>
  <x:si>
    <x:t xml:space="preserve">What did you do when that breakdown happened?</x:t>
  </x:si>
  <x:si>
    <x:t xml:space="preserve">A-M10</x:t>
  </x:si>
  <x:si>
    <x:t xml:space="preserve">I wrote in the chat that the slide was frozen and then dialled in by phone for the audio. I still could not see the missing slides, and I did not leave the meeting.</x:t>
  </x:si>
  <x:si>
    <x:t xml:space="preserve">A-M11</x:t>
  </x:si>
  <x:si>
    <x:t xml:space="preserve">A-M12</x:t>
  </x:si>
  <x:si>
    <x:t xml:space="preserve">I would introduce a clearer turn-taking rule for the room and remote people.</x:t>
  </x:si>
  <x:si>
    <x:t xml:space="preserve">A-M13</x:t>
  </x:si>
  <x:si>
    <x:t xml:space="preserve">What difference would you expect that change to make?</x:t>
  </x:si>
  <x:si>
    <x:t xml:space="preserve">A-M14</x:t>
  </x:si>
  <x:si>
    <x:t xml:space="preserve">I have not worked out the effect yet. I would want to try the rule before claiming that it changes participation.</x:t>
  </x:si>
  <x:si>
    <x:t xml:space="preserve">Item ID</x:t>
  </x:si>
  <x:si>
    <x:t xml:space="preserve">Candidate statement</x:t>
  </x:si>
  <x:si>
    <x:t xml:space="preserve">Suggested source(s)</x:t>
  </x:si>
  <x:si>
    <x:t xml:space="preserve">Proposed support</x:t>
  </x:si>
  <x:si>
    <x:t xml:space="preserve">Proposed action</x:t>
  </x:si>
  <x:si>
    <x:t xml:space="preserve">NP01-A-E1</x:t>
  </x:si>
  <x:si>
    <x:t xml:space="preserve">The participant joined from home as the remote project coordinator for a weekly hybrid planning meeting.</x:t>
  </x:si>
  <x:si>
    <x:t xml:space="preserve">supported</x:t>
  </x:si>
  <x:si>
    <x:t xml:space="preserve">Include</x:t>
  </x:si>
  <x:si>
    <x:t xml:space="preserve">NP01-A-E2</x:t>
  </x:si>
  <x:si>
    <x:t xml:space="preserve">Room-based side conversations and lack of attention to chat made it harder for the participant to follow decisions and contribute without invitation.</x:t>
  </x:si>
  <x:si>
    <x:t xml:space="preserve">A-M04, A-M06</x:t>
  </x:si>
  <x:si>
    <x:t xml:space="preserve">NP01-A-E3</x:t>
  </x:si>
  <x:si>
    <x:t xml:space="preserve">After the shared slides froze, the participant restored full meeting access by switching to the phone.</x:t>
  </x:si>
  <x:si>
    <x:t xml:space="preserve">A-M08, A-M10</x:t>
  </x:si>
  <x:si>
    <x:t xml:space="preserve">partially_supported</x:t>
  </x:si>
  <x:si>
    <x:t xml:space="preserve">Edit</x:t>
  </x:si>
  <x:si>
    <x:t xml:space="preserve">NP01-A-E4</x:t>
  </x:si>
  <x:si>
    <x:t xml:space="preserve">The facilitator paused the meeting until the participant's remote access was restored.</x:t>
  </x:si>
  <x:si>
    <x:t xml:space="preserve">unsupported</x:t>
  </x:si>
  <x:si>
    <x:t xml:space="preserve">Exclude</x:t>
  </x:si>
  <x:si>
    <x:t xml:space="preserve">NP01-A-E5</x:t>
  </x:si>
  <x:si>
    <x:t xml:space="preserve">The participant missed a decision and contributed only after being directly invited.</x:t>
  </x:si>
  <x:si>
    <x:t xml:space="preserve">supported_wrong_suggested_source</x:t>
  </x:si>
  <x:si>
    <x:t xml:space="preserve">Edit source</x:t>
  </x:si>
  <x:si>
    <x:t xml:space="preserve">NP01-A-E6</x:t>
  </x:si>
  <x:si>
    <x:t xml:space="preserve">A clearer turn-taking rule would prevent remote attendees from being overlooked.</x:t>
  </x:si>
  <x:si>
    <x:t xml:space="preserve">A-M12, A-M14</x:t>
  </x:si>
  <x:si>
    <x:t xml:space="preserve">partially_supported_missing_expected_effect</x:t>
  </x:si>
  <x:si>
    <x:t xml:space="preserve">Edit and flag partial</x:t>
  </x:si>
  <x:si>
    <x:t xml:space="preserve">NP01-B — Case material</x:t>
  </x:si>
  <x:si>
    <x:t xml:space="preserve">B-M01</x:t>
  </x:si>
  <x:si>
    <x:t xml:space="preserve">B-M02</x:t>
  </x:si>
  <x:si>
    <x:t xml:space="preserve">I was in the office room as the note-taker for a monthly design review. Three colleagues joined remotely while five of us were in the room.</x:t>
  </x:si>
  <x:si>
    <x:t xml:space="preserve">B-M03</x:t>
  </x:si>
  <x:si>
    <x:t xml:space="preserve">B-M04</x:t>
  </x:si>
  <x:si>
    <x:t xml:space="preserve">The main screen showed the slides but did not show the remote participants' video.</x:t>
  </x:si>
  <x:si>
    <x:t xml:space="preserve">B-M05</x:t>
  </x:si>
  <x:si>
    <x:t xml:space="preserve">B-M06</x:t>
  </x:si>
  <x:si>
    <x:t xml:space="preserve">I could not tell when the remote people wanted to speak, and I talked over one person twice before noticing.</x:t>
  </x:si>
  <x:si>
    <x:t xml:space="preserve">B-M07</x:t>
  </x:si>
  <x:si>
    <x:t xml:space="preserve">B-M08</x:t>
  </x:si>
  <x:si>
    <x:t xml:space="preserve">Chat notifications were muted on the room computer, so a remote attendee's question was not seen for about ten minutes.</x:t>
  </x:si>
  <x:si>
    <x:t xml:space="preserve">B-M09</x:t>
  </x:si>
  <x:si>
    <x:t xml:space="preserve">B-M10</x:t>
  </x:si>
  <x:si>
    <x:t xml:space="preserve">I read the question aloud and added it to the action list. We answered it near the end, but we did not restart the earlier discussion.</x:t>
  </x:si>
  <x:si>
    <x:t xml:space="preserve">B-M11</x:t>
  </x:si>
  <x:si>
    <x:t xml:space="preserve">B-M12</x:t>
  </x:si>
  <x:si>
    <x:t xml:space="preserve">I would put a second screen in the room so the remote participants remain visible.</x:t>
  </x:si>
  <x:si>
    <x:t xml:space="preserve">B-M13</x:t>
  </x:si>
  <x:si>
    <x:t xml:space="preserve">B-M14</x:t>
  </x:si>
  <x:si>
    <x:t xml:space="preserve">I do not know whether it would change participation. I would want to test it in a few meetings before making that claim.</x:t>
  </x:si>
  <x:si>
    <x:t xml:space="preserve">NP01-B-E1</x:t>
  </x:si>
  <x:si>
    <x:t xml:space="preserve">The participant was the in-room note-taker for a monthly hybrid design review with three remote colleagues.</x:t>
  </x:si>
  <x:si>
    <x:t xml:space="preserve">NP01-B-E2</x:t>
  </x:si>
  <x:si>
    <x:t xml:space="preserve">Showing slides without remote-participant video made remote speaking cues difficult to notice and led the participant to talk over someone twice.</x:t>
  </x:si>
  <x:si>
    <x:t xml:space="preserve">B-M04, B-M06</x:t>
  </x:si>
  <x:si>
    <x:t xml:space="preserve">NP01-B-E3</x:t>
  </x:si>
  <x:si>
    <x:t xml:space="preserve">The participant immediately integrated the missed remote question and restarted the discussion.</x:t>
  </x:si>
  <x:si>
    <x:t xml:space="preserve">B-M08, B-M10</x:t>
  </x:si>
  <x:si>
    <x:t xml:space="preserve">NP01-B-E4</x:t>
  </x:si>
  <x:si>
    <x:t xml:space="preserve">The remote attendee left the meeting after the question was ignored.</x:t>
  </x:si>
  <x:si>
    <x:t xml:space="preserve">NP01-B-E5</x:t>
  </x:si>
  <x:si>
    <x:t xml:space="preserve">The participant could not see when remote attendees wanted to speak and talked over one person twice.</x:t>
  </x:si>
  <x:si>
    <x:t xml:space="preserve">NP01-B-E6</x:t>
  </x:si>
  <x:si>
    <x:t xml:space="preserve">A second screen would ensure remote colleagues were included in every decision.</x:t>
  </x:si>
  <x:si>
    <x:t xml:space="preserve">B-M12, B-M14</x:t>
  </x:si>
  <x:si>
    <x:t xml:space="preserve">NP02-A — Case material</x:t>
  </x:si>
  <x:si>
    <x:t xml:space="preserve">Travel Disruption Information Interview · controlled synthetic source</x:t>
  </x:si>
  <x:si>
    <x:t xml:space="preserve">Journey context</x:t>
  </x:si>
  <x:si>
    <x:t xml:space="preserve">Please describe one recent public-transport journey that was affected by an unexpected delay or change.</x:t>
  </x:si>
  <x:si>
    <x:t xml:space="preserve">journey purpose or transport mode; nature of the disruption</x:t>
  </x:si>
  <x:si>
    <x:t xml:space="preserve">Information search</x:t>
  </x:si>
  <x:si>
    <x:t xml:space="preserve">How did you look for information about the disruption, and when did you check it?</x:t>
  </x:si>
  <x:si>
    <x:t xml:space="preserve">information source; timing or sequence of checking</x:t>
  </x:si>
  <x:si>
    <x:t xml:space="preserve">Decision and outcome</x:t>
  </x:si>
  <x:si>
    <x:t xml:space="preserve">What decision did you make after seeing the information, and what happened as a result?</x:t>
  </x:si>
  <x:si>
    <x:t xml:space="preserve">travel decision or route change; consequence of the decision</x:t>
  </x:si>
  <x:si>
    <x:t xml:space="preserve">Information improvement</x:t>
  </x:si>
  <x:si>
    <x:t xml:space="preserve">What information was missing or unreliable, and what change would have helped most?</x:t>
  </x:si>
  <x:si>
    <x:t xml:space="preserve">missing or unreliable information; preferred improvement; expected effect of the preferred improvement</x:t>
  </x:si>
  <x:si>
    <x:t xml:space="preserve">expected effect of the preferred improvement</x:t>
  </x:si>
  <x:si>
    <x:t xml:space="preserve">I was taking a city bus to an evening course. A road closure diverted the bus away from my usual interchange and made the journey about twenty minutes longer.</x:t>
  </x:si>
  <x:si>
    <x:t xml:space="preserve">I checked the live map in the bus operator's app, which showed the bus away from its normal route.</x:t>
  </x:si>
  <x:si>
    <x:t xml:space="preserve">When did you check those information sources, and in what order?</x:t>
  </x:si>
  <x:si>
    <x:t xml:space="preserve">A few minutes later I checked the stop display, then the operator's service-alert page. The display still showed the old route, while the alert page described the diversion.</x:t>
  </x:si>
  <x:si>
    <x:t xml:space="preserve">I got off two stops earlier than planned because the alert page showed that the bus would miss the interchange.</x:t>
  </x:si>
  <x:si>
    <x:t xml:space="preserve">What happened after you made that travel decision?</x:t>
  </x:si>
  <x:si>
    <x:t xml:space="preserve">I walked to a different tram stop and reached the course about twelve minutes late. I did not take the replacement bus that was mentioned later.</x:t>
  </x:si>
  <x:si>
    <x:t xml:space="preserve">I wanted the app, stop display and alert page to show the same current route.</x:t>
  </x:si>
  <x:si>
    <x:t xml:space="preserve">What effect would that information change have had?</x:t>
  </x:si>
  <x:si>
    <x:t xml:space="preserve">I cannot say what difference it would have made to my decision. I would need to encounter it on another journey before judging whether it helped.</x:t>
  </x:si>
  <x:si>
    <x:t xml:space="preserve">NP02-A-E1</x:t>
  </x:si>
  <x:si>
    <x:t xml:space="preserve">The participant was travelling by city bus to an evening course when a road closure diverted the service and extended the journey.</x:t>
  </x:si>
  <x:si>
    <x:t xml:space="preserve">NP02-A-E2</x:t>
  </x:si>
  <x:si>
    <x:t xml:space="preserve">The participant checked the operator app first, then the stop display and service-alert page, finding that the display still showed the old route while the alert page described the diversion.</x:t>
  </x:si>
  <x:si>
    <x:t xml:space="preserve">NP02-A-E3</x:t>
  </x:si>
  <x:si>
    <x:t xml:space="preserve">After reading the alert, the participant changed to a tram and reached the evening course on time.</x:t>
  </x:si>
  <x:si>
    <x:t xml:space="preserve">NP02-A-E4</x:t>
  </x:si>
  <x:si>
    <x:t xml:space="preserve">The operator app sent the participant a push notification before the bus was diverted.</x:t>
  </x:si>
  <x:si>
    <x:t xml:space="preserve">NP02-A-E5</x:t>
  </x:si>
  <x:si>
    <x:t xml:space="preserve">The stop display still showed the old route while the service-alert page described the diversion.</x:t>
  </x:si>
  <x:si>
    <x:t xml:space="preserve">NP02-A-E6</x:t>
  </x:si>
  <x:si>
    <x:t xml:space="preserve">Consistent route information across the app, display and alert page would have prevented the participant's late arrival.</x:t>
  </x:si>
  <x:si>
    <x:t xml:space="preserve">NP02-B — Case material</x:t>
  </x:si>
  <x:si>
    <x:t xml:space="preserve">I was taking a regional train to a Saturday volunteer shift. At the station, the departure board changed from delayed to cancelled, and people were directed toward a replacement bus.</x:t>
  </x:si>
  <x:si>
    <x:t xml:space="preserve">I checked the station departure board and the journey planner for information.</x:t>
  </x:si>
  <x:si>
    <x:t xml:space="preserve">About five minutes later I listened to a platform announcement and checked the operator's service page. The planner still showed the original train, while the service page said the bus would leave from the station entrance.</x:t>
  </x:si>
  <x:si>
    <x:t xml:space="preserve">I left the platform and walked to the station entrance to wait for the replacement bus described on the service page.</x:t>
  </x:si>
  <x:si>
    <x:t xml:space="preserve">The bus departed roughly fifteen minutes later, and I reached the volunteer shift about half an hour late. I did not take a taxi.</x:t>
  </x:si>
  <x:si>
    <x:t xml:space="preserve">I wanted the journey planner to show both the replacement-bus departure point and the expected delay.</x:t>
  </x:si>
  <x:si>
    <x:t xml:space="preserve">I do not know whether that would have changed when I arrived. I would need to use it during another cancellation before claiming that it reduced delay.</x:t>
  </x:si>
  <x:si>
    <x:t xml:space="preserve">NP02-B-E1</x:t>
  </x:si>
  <x:si>
    <x:t xml:space="preserve">The participant was travelling by regional train to a Saturday volunteer shift when the departure changed from delayed to cancelled and a replacement bus was announced.</x:t>
  </x:si>
  <x:si>
    <x:t xml:space="preserve">NP02-B-E2</x:t>
  </x:si>
  <x:si>
    <x:t xml:space="preserve">The participant checked the station board and journey planner, then used a platform announcement and service page, which identified the replacement-bus departure point while the planner still showed the original train.</x:t>
  </x:si>
  <x:si>
    <x:t xml:space="preserve">NP02-B-E3</x:t>
  </x:si>
  <x:si>
    <x:t xml:space="preserve">After reading the service page, the participant took the replacement bus and reached the volunteer shift only fifteen minutes late.</x:t>
  </x:si>
  <x:si>
    <x:t xml:space="preserve">NP02-B-E4</x:t>
  </x:si>
  <x:si>
    <x:t xml:space="preserve">Station staff personally escorted the participant from the platform to the replacement bus.</x:t>
  </x:si>
  <x:si>
    <x:t xml:space="preserve">NP02-B-E5</x:t>
  </x:si>
  <x:si>
    <x:t xml:space="preserve">The journey planner still showed the original train while the service page gave the replacement-bus departure point.</x:t>
  </x:si>
  <x:si>
    <x:t xml:space="preserve">NP02-B-E6</x:t>
  </x:si>
  <x:si>
    <x:t xml:space="preserve">Showing the replacement-bus departure point and expected delay in the journey planner would have ensured that the participant arrived on time.</x:t>
  </x:si>
  <x:si>
    <x:t xml:space="preserve">NP03-A — Case material</x:t>
  </x:si>
  <x:si>
    <x:t xml:space="preserve">Reusable Takeaway Packaging Interview · controlled synthetic source</x:t>
  </x:si>
  <x:si>
    <x:t xml:space="preserve">Use context</x:t>
  </x:si>
  <x:si>
    <x:t xml:space="preserve">Please describe one occasion when you used reusable packaging for takeaway food or drink.</x:t>
  </x:si>
  <x:si>
    <x:t xml:space="preserve">service setting; reason for choosing or accepting reuse</x:t>
  </x:si>
  <x:si>
    <x:t xml:space="preserve">Return process</x:t>
  </x:si>
  <x:si>
    <x:t xml:space="preserve">What did you do when it was time to return the packaging, and what was the outcome?</x:t>
  </x:si>
  <x:si>
    <x:t xml:space="preserve">return steps attempted; return outcome</x:t>
  </x:si>
  <x:si>
    <x:t xml:space="preserve">Friction or enabler</x:t>
  </x:si>
  <x:si>
    <x:t xml:space="preserve">What made the return process easier or harder, and how did that affect you?</x:t>
  </x:si>
  <x:si>
    <x:t xml:space="preserve">specific return barrier or enabler; effect on effort or confidence</x:t>
  </x:si>
  <x:si>
    <x:t xml:space="preserve">Future-use condition</x:t>
  </x:si>
  <x:si>
    <x:t xml:space="preserve">What one change would make you more likely to use the scheme again, and why?</x:t>
  </x:si>
  <x:si>
    <x:t xml:space="preserve">desired scheme change; expected effect on future use</x:t>
  </x:si>
  <x:si>
    <x:t xml:space="preserve">expected effect on future use</x:t>
  </x:si>
  <x:si>
    <x:t xml:space="preserve">I accepted a reusable cup at a café beside a training centre after a workshop. I chose it because there was no extra fee and the return kiosk was near the entrance.</x:t>
  </x:si>
  <x:si>
    <x:t xml:space="preserve">After the workshop I carried the cup to the return kiosk, scanned the printed code and placed the cup in the return slot.</x:t>
  </x:si>
  <x:si>
    <x:t xml:space="preserve">What happened after you tried those return steps?</x:t>
  </x:si>
  <x:si>
    <x:t xml:space="preserve">The screen showed the return as pending, so I waited and scanned again. The second attempt was accepted, and I left without keeping the cup.</x:t>
  </x:si>
  <x:si>
    <x:t xml:space="preserve">The first scan produced no confirmation, and I was not sure whether the kiosk had registered the cup.</x:t>
  </x:si>
  <x:si>
    <x:t xml:space="preserve">How did that barrier affect your effort or confidence?</x:t>
  </x:si>
  <x:si>
    <x:t xml:space="preserve">I asked a counter worker to check. They pointed to the green confirmation after the second scan, but I still spent several minutes waiting.</x:t>
  </x:si>
  <x:si>
    <x:t xml:space="preserve">I would want a clear on-screen receipt that names the container just returned.</x:t>
  </x:si>
  <x:si>
    <x:t xml:space="preserve">How would that change affect your willingness to use the scheme again?</x:t>
  </x:si>
  <x:si>
    <x:t xml:space="preserve">I do not know yet whether it would make me use the scheme again. I would need to see the receipt work reliably before making that claim.</x:t>
  </x:si>
  <x:si>
    <x:t xml:space="preserve">NP03-A-E1</x:t>
  </x:si>
  <x:si>
    <x:t xml:space="preserve">The participant accepted a reusable cup at a café after a workshop because there was no extra fee and a return kiosk was nearby.</x:t>
  </x:si>
  <x:si>
    <x:t xml:space="preserve">NP03-A-E2</x:t>
  </x:si>
  <x:si>
    <x:t xml:space="preserve">The participant scanned the cup at the kiosk, waited after a pending message, scanned again and completed the return on the second attempt.</x:t>
  </x:si>
  <x:si>
    <x:t xml:space="preserve">NP03-A-E3</x:t>
  </x:si>
  <x:si>
    <x:t xml:space="preserve">A staff member manually completed the return immediately after the first scan failed.</x:t>
  </x:si>
  <x:si>
    <x:t xml:space="preserve">NP03-A-E4</x:t>
  </x:si>
  <x:si>
    <x:t xml:space="preserve">The kiosk refunded a cash deposit after the cup was returned.</x:t>
  </x:si>
  <x:si>
    <x:t xml:space="preserve">NP03-A-E5</x:t>
  </x:si>
  <x:si>
    <x:t xml:space="preserve">The second scan was accepted and the participant left without keeping the cup.</x:t>
  </x:si>
  <x:si>
    <x:t xml:space="preserve">NP03-A-E6</x:t>
  </x:si>
  <x:si>
    <x:t xml:space="preserve">A clear on-screen receipt would make the participant use the reusable-cup scheme again.</x:t>
  </x:si>
  <x:si>
    <x:t xml:space="preserve">NP03-B — Case material</x:t>
  </x:si>
  <x:si>
    <x:t xml:space="preserve">I accepted a reusable bowl at an office food hall for a takeaway lunch. I chose it because the staff offered it without an extra charge and the lobby had a collection cabinet.</x:t>
  </x:si>
  <x:si>
    <x:t xml:space="preserve">The next morning I carried the bowl to the lobby cabinet and scanned the code printed on its lid.</x:t>
  </x:si>
  <x:si>
    <x:t xml:space="preserve">The cabinet door opened, I placed the bowl in the labelled compartment, and the screen said received. I closed the door, and the return completed on the first attempt.</x:t>
  </x:si>
  <x:si>
    <x:t xml:space="preserve">Some compartment labels were partly covered, so I could not tell immediately which compartment was intended for bowls.</x:t>
  </x:si>
  <x:si>
    <x:t xml:space="preserve">I compared the icon on the screen with the icon on the lid and used the middle compartment. That added a few minutes, but I did not abandon the return.</x:t>
  </x:si>
  <x:si>
    <x:t xml:space="preserve">I would want larger compartment labels using the same icon that appears on the screen.</x:t>
  </x:si>
  <x:si>
    <x:t xml:space="preserve">I have not tested that change, so I cannot say whether it would alter my future use. I would need another return before making that claim.</x:t>
  </x:si>
  <x:si>
    <x:t xml:space="preserve">NP03-B-E1</x:t>
  </x:si>
  <x:si>
    <x:t xml:space="preserve">The participant accepted a reusable bowl at an office food hall because there was no extra charge and a return cabinet was available in the lobby.</x:t>
  </x:si>
  <x:si>
    <x:t xml:space="preserve">NP03-B-E2</x:t>
  </x:si>
  <x:si>
    <x:t xml:space="preserve">The participant scanned the lid code, placed the bowl in the cabinet and completed the return on the first attempt after the screen confirmed receipt.</x:t>
  </x:si>
  <x:si>
    <x:t xml:space="preserve">NP03-B-E3</x:t>
  </x:si>
  <x:si>
    <x:t xml:space="preserve">The screen instructions made the correct compartment immediately obvious, so the return required no extra time.</x:t>
  </x:si>
  <x:si>
    <x:t xml:space="preserve">NP03-B-E4</x:t>
  </x:si>
  <x:si>
    <x:t xml:space="preserve">A food-hall staff member took the bowl and completed the cabinet return for the participant.</x:t>
  </x:si>
  <x:si>
    <x:t xml:space="preserve">NP03-B-E5</x:t>
  </x:si>
  <x:si>
    <x:t xml:space="preserve">The screen confirmed receipt and the return completed on the first attempt.</x:t>
  </x:si>
  <x:si>
    <x:t xml:space="preserve">NP03-B-E6</x:t>
  </x:si>
  <x:si>
    <x:t xml:space="preserve">Larger compartment labels matching the on-screen icon would make the participant use the reusable-bowl scheme again.</x:t>
  </x:si>
  <x:si>
    <x:t xml:space="preserve">Topic-level Gold and review</x:t>
  </x:si>
  <x:si>
    <x:t xml:space="preserve">Case</x:t>
  </x:si>
  <x:si>
    <x:t xml:space="preserve">Topic code</x:t>
  </x:si>
  <x:si>
    <x:t xml:space="preserve">Proposed correct status</x:t>
  </x:si>
  <x:si>
    <x:t xml:space="preserve">Proposed missing information</x:t>
  </x:si>
  <x:si>
    <x:t xml:space="preserve">Amendment</x:t>
  </x:si>
  <x:si>
    <x:t xml:space="preserve">Reason</x:t>
  </x:si>
  <x:si>
    <x:t xml:space="preserve">Initials / date</x:t>
  </x:si>
  <x:si>
    <x:t xml:space="preserve">Row QA</x:t>
  </x:si>
  <x:si>
    <x:t xml:space="preserve">NP01-A</x:t>
  </x:si>
  <x:si>
    <x:t xml:space="preserve">meeting_context</x:t>
  </x:si>
  <x:si>
    <x:t xml:space="preserve">participation_experience</x:t>
  </x:si>
  <x:si>
    <x:t xml:space="preserve">breakdown_response</x:t>
  </x:si>
  <x:si>
    <x:t xml:space="preserve">improvement_priority</x:t>
  </x:si>
  <x:si>
    <x:t xml:space="preserve">NP01-B</x:t>
  </x:si>
  <x:si>
    <x:t xml:space="preserve">NP02-A</x:t>
  </x:si>
  <x:si>
    <x:t xml:space="preserve">journey_context</x:t>
  </x:si>
  <x:si>
    <x:t xml:space="preserve">information_search</x:t>
  </x:si>
  <x:si>
    <x:t xml:space="preserve">decision_outcome</x:t>
  </x:si>
  <x:si>
    <x:t xml:space="preserve">information_improvement</x:t>
  </x:si>
  <x:si>
    <x:t xml:space="preserve">NP02-B</x:t>
  </x:si>
  <x:si>
    <x:t xml:space="preserve">NP03-A</x:t>
  </x:si>
  <x:si>
    <x:t xml:space="preserve">use_context</x:t>
  </x:si>
  <x:si>
    <x:t xml:space="preserve">return_process</x:t>
  </x:si>
  <x:si>
    <x:t xml:space="preserve">friction_enabler</x:t>
  </x:si>
  <x:si>
    <x:t xml:space="preserve">adoption_condition</x:t>
  </x:si>
  <x:si>
    <x:t xml:space="preserve">NP03-B</x:t>
  </x:si>
  <x:si>
    <x:t xml:space="preserve">Item-level Gold and review</x:t>
  </x:si>
  <x:si>
    <x:t xml:space="preserve">Thirty-six rows. Designed issue types and error rules remain private.</x:t>
  </x:si>
  <x:si>
    <x:t xml:space="preserve">Correct source(s)</x:t>
  </x:si>
  <x:si>
    <x:t xml:space="preserve">Expected action</x:t>
  </x:si>
  <x:si>
    <x:t xml:space="preserve">Designed issue</x:t>
  </x:si>
  <x:si>
    <x:t xml:space="preserve">Required correction</x:t>
  </x:si>
  <x:si>
    <x:t xml:space="preserve">Acceptable alternative</x:t>
  </x:si>
  <x:si>
    <x:t xml:space="preserve">Critical error rule</x:t>
  </x:si>
  <x:si>
    <x:t xml:space="preserve">Full-score rule</x:t>
  </x:si>
  <x:si>
    <x:t xml:space="preserve">none</x:t>
  </x:si>
  <x:si>
    <x:t xml:space="preserve">None.</x:t>
  </x:si>
  <x:si>
    <x:t xml:space="preserve">A minor wording edit that preserves the remote role, coordinator role and weekly planning context.</x:t>
  </x:si>
  <x:si>
    <x:t xml:space="preserve">Not critical unless the final record materially reverses the meeting context.</x:t>
  </x:si>
  <x:si>
    <x:t xml:space="preserve">Include or minor edit with A-M02 as the source.</x:t>
  </x:si>
  <x:si>
    <x:t xml:space="preserve">A minor edit may separate the observed barrier from its effect while retaining both sources.</x:t>
  </x:si>
  <x:si>
    <x:t xml:space="preserve">Not critical unless the final record attributes a different barrier or outcome.</x:t>
  </x:si>
  <x:si>
    <x:t xml:space="preserve">Include or minor edit using cumulative evidence from A-M04 and A-M06.</x:t>
  </x:si>
  <x:si>
    <x:t xml:space="preserve">partially_supported_overstatement</x:t>
  </x:si>
  <x:si>
    <x:t xml:space="preserve">Remove the claim that full meeting access was restored. State that the participant reported the frozen slides and switched to phone audio while remaining unable to see the missing slides.</x:t>
  </x:si>
  <x:si>
    <x:t xml:space="preserve">Any transcript-grounded wording that retains the freeze, chat report and phone-audio workaround without claiming restored visual access.</x:t>
  </x:si>
  <x:si>
    <x:t xml:space="preserve">Approving the original full-access claim is a false approval and a critical meaning error.</x:t>
  </x:si>
  <x:si>
    <x:t xml:space="preserve">Edit the statement to the supported scope and retain A-M08/A-M10.</x:t>
  </x:si>
  <x:si>
    <x:t xml:space="preserve">unsupported_inference</x:t>
  </x:si>
  <x:si>
    <x:t xml:space="preserve">Remove the statement; no participant message says the facilitator paused the meeting or restored access.</x:t>
  </x:si>
  <x:si>
    <x:t xml:space="preserve">None; an entirely new supported item would be a separate evidence item, not an edit of this claim.</x:t>
  </x:si>
  <x:si>
    <x:t xml:space="preserve">Including the claim is a false approval and a critical unsupported-evidence error.</x:t>
  </x:si>
  <x:si>
    <x:t xml:space="preserve">Exclude and identify the absence of supporting transcript evidence.</x:t>
  </x:si>
  <x:si>
    <x:t xml:space="preserve">wrong_source_id</x:t>
  </x:si>
  <x:si>
    <x:t xml:space="preserve">Replace A-M02 with A-M06; the candidate statement itself may remain.</x:t>
  </x:si>
  <x:si>
    <x:t xml:space="preserve">A-M04 and A-M06 together are acceptable if the statement is broadened to include the meeting behaviour as well as its effect.</x:t>
  </x:si>
  <x:si>
    <x:t xml:space="preserve">Retaining A-M02 as the sole source is a critical traceability error even though the statement is supported elsewhere.</x:t>
  </x:si>
  <x:si>
    <x:t xml:space="preserve">Retain the supported statement and correct the source to A-M06.</x:t>
  </x:si>
  <x:si>
    <x:t xml:space="preserve">false_sufficient_missing_expected_effect</x:t>
  </x:si>
  <x:si>
    <x:t xml:space="preserve">State only that the participant proposed a clearer turn-taking rule and explicitly mark the expected effect as not established.</x:t>
  </x:si>
  <x:si>
    <x:t xml:space="preserve">Exclude is acceptable if the researcher requires a stated expected effect before retaining an improvement item, provided the missing information is explicitly recorded.</x:t>
  </x:si>
  <x:si>
    <x:t xml:space="preserve">Approving the original prevention claim or retaining a sufficient status is a critical false-sufficiency error.</x:t>
  </x:si>
  <x:si>
    <x:t xml:space="preserve">Edit or defensibly exclude, change the topic status to partial and record the missing expected effect.</x:t>
  </x:si>
  <x:si>
    <x:t xml:space="preserve">A minor wording edit that preserves the in-room note-taker role, monthly design-review format and remote participation.</x:t>
  </x:si>
  <x:si>
    <x:t xml:space="preserve">Include or minor edit with B-M02 as the source.</x:t>
  </x:si>
  <x:si>
    <x:t xml:space="preserve">A minor edit may separate the display configuration from its effect while retaining both sources.</x:t>
  </x:si>
  <x:si>
    <x:t xml:space="preserve">Include or minor edit using cumulative evidence from B-M04 and B-M06.</x:t>
  </x:si>
  <x:si>
    <x:t xml:space="preserve">Remove 'immediately' and 'restarted the discussion'. State that the participant read the question aloud, added it to the action list and answered it near the end.</x:t>
  </x:si>
  <x:si>
    <x:t xml:space="preserve">Any wording grounded in B-M08/B-M10 that preserves the delay and does not claim the earlier discussion was restarted.</x:t>
  </x:si>
  <x:si>
    <x:t xml:space="preserve">Approving the original immediate-restart claim is a false approval and a critical meaning error.</x:t>
  </x:si>
  <x:si>
    <x:t xml:space="preserve">Edit the statement to the supported scope and retain B-M08/B-M10.</x:t>
  </x:si>
  <x:si>
    <x:t xml:space="preserve">Remove the statement; the transcript does not say the remote attendee left.</x:t>
  </x:si>
  <x:si>
    <x:t xml:space="preserve">Replace B-M02 with B-M06; the candidate statement itself may remain.</x:t>
  </x:si>
  <x:si>
    <x:t xml:space="preserve">B-M04 and B-M06 together are acceptable if the statement is broadened to include the display configuration as well as its effect.</x:t>
  </x:si>
  <x:si>
    <x:t xml:space="preserve">Retaining B-M02 as the sole source is a critical traceability error even though the statement is supported elsewhere.</x:t>
  </x:si>
  <x:si>
    <x:t xml:space="preserve">Retain the supported statement and correct the source to B-M06.</x:t>
  </x:si>
  <x:si>
    <x:t xml:space="preserve">State only that the participant proposed a second screen and explicitly mark its expected effect as not established.</x:t>
  </x:si>
  <x:si>
    <x:t xml:space="preserve">Approving the original inclusion guarantee or retaining a sufficient status is a critical false-sufficiency error.</x:t>
  </x:si>
  <x:si>
    <x:t xml:space="preserve">A minor wording edit that preserves the bus journey, evening-course purpose and road-closure diversion.</x:t>
  </x:si>
  <x:si>
    <x:t xml:space="preserve">Not critical unless the final record materially reverses the journey context.</x:t>
  </x:si>
  <x:si>
    <x:t xml:space="preserve">A minor edit may separate the checking sequence from the inconsistency while retaining both sources.</x:t>
  </x:si>
  <x:si>
    <x:t xml:space="preserve">Not critical unless the final record attributes a different source sequence or information conflict.</x:t>
  </x:si>
  <x:si>
    <x:t xml:space="preserve">Remove the on-time claim. State that the participant got off early, walked to a tram stop and reached the course about twelve minutes late.</x:t>
  </x:si>
  <x:si>
    <x:t xml:space="preserve">Any transcript-grounded wording that retains the route change and late arrival without claiming an on-time outcome.</x:t>
  </x:si>
  <x:si>
    <x:t xml:space="preserve">Approving the original on-time claim is a false approval and a critical outcome error.</x:t>
  </x:si>
  <x:si>
    <x:t xml:space="preserve">Remove the statement; the participant reported checking the app after noticing the route change, not receiving a push notification beforehand.</x:t>
  </x:si>
  <x:si>
    <x:t xml:space="preserve">None; a new supported statement about manually checking the app would be a separate evidence item.</x:t>
  </x:si>
  <x:si>
    <x:t xml:space="preserve">A-M04 and A-M06 together are acceptable if the statement is broadened to include the checking sequence.</x:t>
  </x:si>
  <x:si>
    <x:t xml:space="preserve">State only that the participant wanted consistent route information and explicitly mark its effect on the journey as not established.</x:t>
  </x:si>
  <x:si>
    <x:t xml:space="preserve">Approving the prevention claim or retaining a sufficient status is a critical false-sufficiency error.</x:t>
  </x:si>
  <x:si>
    <x:t xml:space="preserve">A minor wording edit that preserves the regional-train journey, volunteer-shift purpose and cancellation.</x:t>
  </x:si>
  <x:si>
    <x:t xml:space="preserve">A minor edit may separate the checking sequence from the inconsistent information while retaining both sources.</x:t>
  </x:si>
  <x:si>
    <x:t xml:space="preserve">Remove the fifteen-minutes-late claim. State that the participant took the replacement bus and reached the shift about half an hour late.</x:t>
  </x:si>
  <x:si>
    <x:t xml:space="preserve">Any transcript-grounded wording that retains the replacement bus and approximately thirty-minute late arrival.</x:t>
  </x:si>
  <x:si>
    <x:t xml:space="preserve">Approving the original fifteen-minutes-late claim is a false approval and a critical outcome error.</x:t>
  </x:si>
  <x:si>
    <x:t xml:space="preserve">Remove the statement; the transcript contains an announcement and service-page information but no personal escort by staff.</x:t>
  </x:si>
  <x:si>
    <x:t xml:space="preserve">None; a new supported statement about the announcement or service page would be a separate evidence item.</x:t>
  </x:si>
  <x:si>
    <x:t xml:space="preserve">B-M04 and B-M06 together are acceptable if the statement is broadened to include the checking sequence.</x:t>
  </x:si>
  <x:si>
    <x:t xml:space="preserve">State only that the participant wanted the departure point and expected delay in the planner and explicitly mark the effect on arrival as not established.</x:t>
  </x:si>
  <x:si>
    <x:t xml:space="preserve">Approving the on-time guarantee or retaining a sufficient status is a critical false-sufficiency error.</x:t>
  </x:si>
  <x:si>
    <x:t xml:space="preserve">A minor wording edit that preserves the café setting, workshop context and reasons for accepting the cup.</x:t>
  </x:si>
  <x:si>
    <x:t xml:space="preserve">Not critical unless the final record materially reverses the use context.</x:t>
  </x:si>
  <x:si>
    <x:t xml:space="preserve">A minor edit may separate the return steps from the accepted outcome while retaining both sources.</x:t>
  </x:si>
  <x:si>
    <x:t xml:space="preserve">Not critical unless the final record attributes a different return process or outcome.</x:t>
  </x:si>
  <x:si>
    <x:t xml:space="preserve">Remove the claim that staff manually completed the return immediately. State that a worker pointed out the green confirmation after the participant's second scan and that the participant had waited several minutes.</x:t>
  </x:si>
  <x:si>
    <x:t xml:space="preserve">Any transcript-grounded wording that retains the worker's limited assistance without claiming manual completion or immediacy.</x:t>
  </x:si>
  <x:si>
    <x:t xml:space="preserve">Approving the original manual-completion claim is a false approval and a critical process error.</x:t>
  </x:si>
  <x:si>
    <x:t xml:space="preserve">Remove the statement; no message mentions a deposit or cash refund.</x:t>
  </x:si>
  <x:si>
    <x:t xml:space="preserve">None; a new supported statement about the accepted second scan would be a separate evidence item.</x:t>
  </x:si>
  <x:si>
    <x:t xml:space="preserve">A-M04 and A-M06 together are acceptable if the statement is broadened to include the return steps.</x:t>
  </x:si>
  <x:si>
    <x:t xml:space="preserve">State only that the participant wanted a clear receipt and explicitly mark its effect on future use as not established.</x:t>
  </x:si>
  <x:si>
    <x:t xml:space="preserve">Exclude is acceptable if the researcher requires a stated expected effect before retaining a future-use item, provided the missing information is explicitly recorded.</x:t>
  </x:si>
  <x:si>
    <x:t xml:space="preserve">Approving the future-use claim or retaining a sufficient status is a critical false-sufficiency error.</x:t>
  </x:si>
  <x:si>
    <x:t xml:space="preserve">A minor wording edit that preserves the office food-hall setting and reasons for accepting the bowl.</x:t>
  </x:si>
  <x:si>
    <x:t xml:space="preserve">A minor edit may separate the return steps from the completed outcome while retaining both sources.</x:t>
  </x:si>
  <x:si>
    <x:t xml:space="preserve">Remove the claims of immediate clarity and no extra time. State that the participant matched screen and lid icons to select a compartment, which added a few minutes.</x:t>
  </x:si>
  <x:si>
    <x:t xml:space="preserve">Any transcript-grounded wording that retains the icon comparison and added time without claiming immediate clarity.</x:t>
  </x:si>
  <x:si>
    <x:t xml:space="preserve">Approving the original no-extra-time claim is a false approval and a critical effort error.</x:t>
  </x:si>
  <x:si>
    <x:t xml:space="preserve">Remove the statement; the participant described completing the cabinet return without staff assistance.</x:t>
  </x:si>
  <x:si>
    <x:t xml:space="preserve">None; a new supported statement about the participant's own steps would be a separate evidence item.</x:t>
  </x:si>
  <x:si>
    <x:t xml:space="preserve">B-M04 and B-M06 together are acceptable if the statement is broadened to include the scanning step.</x:t>
  </x:si>
  <x:si>
    <x:t xml:space="preserve">State only that the participant wanted larger matching labels and explicitly mark their effect on future use as not established.</x:t>
  </x:si>
  <x:si>
    <x:t xml:space="preserve">Gold review completion summary</x:t>
  </x:si>
  <x:si>
    <x:t xml:space="preserve">This checks completeness only; it does not resolve amendments automatically.</x:t>
  </x:si>
  <x:si>
    <x:t xml:space="preserve">Section</x:t>
  </x:si>
  <x:si>
    <x:t xml:space="preserve">Required rows</x:t>
  </x:si>
  <x:si>
    <x:t xml:space="preserve">PASS rows</x:t>
  </x:si>
  <x:si>
    <x:t xml:space="preserve">Amend rows</x:t>
  </x:si>
  <x:si>
    <x:t xml:space="preserve">Topic Gold</x:t>
  </x:si>
  <x:si>
    <x:t xml:space="preserve">Item Gold</x:t>
  </x:si>
  <x:si>
    <x:t xml:space="preserve">Total</x:t>
  </x:si>
  <x:si>
    <x:t xml:space="preserve">Freeze gate</x:t>
  </x:si>
  <x:si>
    <x:t xml:space="preserve">All 60 rows PASS, amendments resolved, final confirmation signed, new Pilot complete</x:t>
  </x:si>
  <x:si>
    <x:t xml:space="preserve">Current document status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</x:si>
</x:sst>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8"/>
      <x:color rgb="FFFFFFFF"/>
      <x:name val="Calibri"/>
    </x:font>
    <x:font>
      <x:i/>
      <x:sz val="11"/>
      <x:color rgb="FF132A4F"/>
      <x:name val="Calibri"/>
    </x:font>
    <x:font>
      <x:b/>
      <x:sz val="11"/>
      <x:color rgb="FFFFFFFF"/>
      <x:name val="Calibri"/>
    </x:font>
    <x:font>
      <x:sz val="11"/>
      <x:color rgb="FF101828"/>
      <x:name val="Calibri"/>
    </x:font>
    <x:font>
      <x:b/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32A4F"/>
      </x:patternFill>
    </x:fill>
    <x:fill>
      <x:patternFill patternType="solid">
        <x:fgColor rgb="FFEAF0FF"/>
      </x:patternFill>
    </x:fill>
    <x:fill>
      <x:patternFill patternType="solid">
        <x:fgColor rgb="FF1F5EFF"/>
      </x:patternFill>
    </x:fill>
    <x:fill>
      <x:patternFill patternType="solid">
        <x:fgColor rgb="FFFFF4CC"/>
      </x:patternFill>
    </x:fill>
    <x:fill>
      <x:patternFill patternType="solid">
        <x:fgColor rgb="FFF2F4F7"/>
      </x:patternFill>
    </x:fill>
  </x:fills>
  <x:borders count="2">
    <x:border diagonalUp="0" diagonalDown="0"/>
    <x:border diagonalUp="0" diagonalDown="0"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7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general" vertical="center" wrapText="0"/>
    </x:xf>
    <x:xf numFmtId="164" fontId="6" fillId="3" borderId="0" xfId="20" applyFont="1" applyBorder="1" applyAlignment="1">
      <x:alignment horizontal="general" vertical="bottom" wrapText="1"/>
    </x:xf>
    <x:xf numFmtId="164" fontId="7" fillId="4" borderId="1" xfId="20" applyFont="1" applyBorder="1" applyAlignment="1">
      <x:alignment horizontal="general" vertical="center" wrapText="1"/>
    </x:xf>
    <x:xf numFmtId="164" fontId="8" fillId="0" borderId="1" xfId="20" applyFont="1" applyBorder="1" applyAlignment="1">
      <x:alignment horizontal="general" vertical="top" wrapText="1"/>
    </x:xf>
    <x:xf numFmtId="164" fontId="8" fillId="5" borderId="1" xfId="20" applyFont="1" applyBorder="1" applyAlignment="1">
      <x:alignment horizontal="general" vertical="top" wrapText="1"/>
    </x:xf>
    <x:xf numFmtId="164" fontId="9" fillId="6" borderId="1" xfId="20" applyFont="1" applyBorder="1" applyAlignment="0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4CC"/>
      <x:rgbColor rgb="FFEAF0FF"/>
      <x:rgbColor rgb="FF660066"/>
      <x:rgbColor rgb="FFFF8080"/>
      <x:rgbColor rgb="FF0066CC"/>
      <x:rgbColor rgb="FFD0D5DD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4F7"/>
      <x:rgbColor rgb="FFCCFFCC"/>
      <x:rgbColor rgb="FFFFFF99"/>
      <x:rgbColor rgb="FF99CCFF"/>
      <x:rgbColor rgb="FFFF99CC"/>
      <x:rgbColor rgb="FFCC99FF"/>
      <x:rgbColor rgb="FFFFCC99"/>
      <x:rgbColor rgb="FF1F5EFF"/>
      <x:rgbColor rgb="FF33CCCC"/>
      <x:rgbColor rgb="FF99CC00"/>
      <x:rgbColor rgb="FFFFCC00"/>
      <x:rgbColor rgb="FFFF9900"/>
      <x:rgbColor rgb="FFFF6600"/>
      <x:rgbColor rgb="FF666699"/>
      <x:rgbColor rgb="FF969696"/>
      <x:rgbColor rgb="FF132A4F"/>
      <x:rgbColor rgb="FF339966"/>
      <x:rgbColor rgb="FF101828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e32b163914067" /><Relationship Type="http://schemas.openxmlformats.org/officeDocument/2006/relationships/theme" Target="/xl/theme/theme1.xml" Id="R764f7d22c02245ae" /><Relationship Type="http://schemas.openxmlformats.org/officeDocument/2006/relationships/sharedStrings" Target="/xl/sharedStrings.xml" Id="Rfbcf608d5dfb40e9" /><Relationship Type="http://schemas.openxmlformats.org/officeDocument/2006/relationships/worksheet" Target="/xl/worksheets/sheet1.xml" Id="R0e31d23da6dd4080" /><Relationship Type="http://schemas.openxmlformats.org/officeDocument/2006/relationships/worksheet" Target="/xl/worksheets/sheet2.xml" Id="R24a07080c20e4dfa" /><Relationship Type="http://schemas.openxmlformats.org/officeDocument/2006/relationships/worksheet" Target="/xl/worksheets/sheet3.xml" Id="Ra23e74cee2224b2f" /><Relationship Type="http://schemas.openxmlformats.org/officeDocument/2006/relationships/worksheet" Target="/xl/worksheets/sheet4.xml" Id="R30a1ec513c014d43" /><Relationship Type="http://schemas.openxmlformats.org/officeDocument/2006/relationships/worksheet" Target="/xl/worksheets/sheet5.xml" Id="R103f57cbd695448e" /><Relationship Type="http://schemas.openxmlformats.org/officeDocument/2006/relationships/worksheet" Target="/xl/worksheets/sheet6.xml" Id="Rb90ddde8ffe4434d" /><Relationship Type="http://schemas.openxmlformats.org/officeDocument/2006/relationships/worksheet" Target="/xl/worksheets/sheet7.xml" Id="R64b5fd2a31214fac" /><Relationship Type="http://schemas.openxmlformats.org/officeDocument/2006/relationships/worksheet" Target="/xl/worksheets/sheet8.xml" Id="Rcebb79c6cbb6479c" /><Relationship Type="http://schemas.openxmlformats.org/officeDocument/2006/relationships/worksheet" Target="/xl/worksheets/sheet9.xml" Id="R163e32961b994c7d" /><Relationship Type="http://schemas.openxmlformats.org/officeDocument/2006/relationships/worksheet" Target="/xl/worksheets/sheet10.xml" Id="R3f382dff6682487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4" hidden="0" customWidth="1"/>
    <x:col min="2" max="2" width="68" hidden="0" customWidth="1"/>
    <x:col min="3" max="3" width="48" hidden="0" customWidth="1"/>
    <x:col min="4" max="4" width="30" hidden="0" customWidth="1"/>
    <x:col min="5" max="5" width="18" hidden="0" customWidth="1"/>
    <x:col min="6" max="6" width="46" hidden="0" customWidth="1"/>
  </x:cols>
  <x:sheetData>
    <x:row r="1" ht="30" hidden="0" customHeight="1">
      <x:c r="A1" s="1" t="s">
        <x:v>0</x:v>
      </x:c>
      <x:c r="B1" s="1"/>
      <x:c r="C1" s="1"/>
      <x:c r="D1" s="1"/>
      <x:c r="E1" s="1"/>
      <x:c r="F1" s="1"/>
    </x:row>
    <x:row r="2" ht="32" hidden="0" customHeight="1">
      <x:c r="A2" s="2" t="str">
        <x:v>v0.8.0 · Proposed answer key for independent review by GoldReviewer01. Do not send to P01–P03 or Pilot-02.</x:v>
      </x:c>
      <x:c r="B2" s="2"/>
      <x:c r="C2" s="2"/>
      <x:c r="D2" s="2"/>
      <x:c r="E2" s="2"/>
      <x:c r="F2" s="2"/>
    </x:row>
    <x:row r="4" ht="15" hidden="0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</x:row>
    <x:row r="5" ht="15" hidden="0">
      <x:c r="A5" s="4" t="s">
        <x:v>7</x:v>
      </x:c>
      <x:c r="B5" s="4" t="s">
        <x:v>8</x:v>
      </x:c>
      <x:c r="C5" s="4" t="s">
        <x:v>9</x:v>
      </x:c>
      <x:c r="D5" s="5"/>
      <x:c r="E5" s="5"/>
      <x:c r="F5" s="5"/>
    </x:row>
    <x:row r="6" ht="23.850000381469727" hidden="0">
      <x:c r="A6" s="4" t="s">
        <x:v>10</x:v>
      </x:c>
      <x:c r="B6" s="4" t="s">
        <x:v>11</x:v>
      </x:c>
      <x:c r="C6" s="4" t="s">
        <x:v>12</x:v>
      </x:c>
      <x:c r="D6" s="5"/>
      <x:c r="E6" s="5"/>
      <x:c r="F6" s="5"/>
    </x:row>
    <x:row r="7" ht="15" hidden="0">
      <x:c r="A7" s="4" t="s">
        <x:v>13</x:v>
      </x:c>
      <x:c r="B7" s="4" t="n">
        <x:v>6</x:v>
      </x:c>
      <x:c r="C7" s="4" t="s">
        <x:v>14</x:v>
      </x:c>
      <x:c r="D7" s="5"/>
      <x:c r="E7" s="5"/>
      <x:c r="F7" s="5"/>
    </x:row>
    <x:row r="8" ht="15" hidden="0">
      <x:c r="A8" s="4" t="s">
        <x:v>15</x:v>
      </x:c>
      <x:c r="B8" s="4" t="n">
        <x:v>36</x:v>
      </x:c>
      <x:c r="C8" s="4" t="s">
        <x:v>16</x:v>
      </x:c>
      <x:c r="D8" s="5"/>
      <x:c r="E8" s="5"/>
      <x:c r="F8" s="5"/>
    </x:row>
    <x:row r="9" ht="15" hidden="0">
      <x:c r="A9" s="4" t="s">
        <x:v>17</x:v>
      </x:c>
      <x:c r="B9" s="4" t="n">
        <x:v>24</x:v>
      </x:c>
      <x:c r="C9" s="4" t="s">
        <x:v>16</x:v>
      </x:c>
      <x:c r="D9" s="5"/>
      <x:c r="E9" s="5"/>
      <x:c r="F9" s="5"/>
    </x:row>
    <x:row r="10" ht="15" hidden="0">
      <x:c r="A10" s="4" t="s">
        <x:v>18</x:v>
      </x:c>
      <x:c r="B10" s="4" t="s">
        <x:v>19</x:v>
      </x:c>
      <x:c r="C10" s="4" t="s">
        <x:v>20</x:v>
      </x:c>
      <x:c r="D10" s="5"/>
      <x:c r="E10" s="5"/>
      <x:c r="F10" s="5"/>
    </x:row>
    <x:row r="11" ht="15" hidden="0">
      <x:c r="A11" s="4"/>
      <x:c r="B11" s="4"/>
      <x:c r="C11" s="4"/>
      <x:c r="D11" s="5"/>
      <x:c r="E11" s="5"/>
      <x:c r="F11" s="5"/>
    </x:row>
    <x:row r="12" ht="23.850000381469727" hidden="0">
      <x:c r="A12" s="4" t="s">
        <x:v>21</x:v>
      </x:c>
      <x:c r="B12" s="4" t="s">
        <x:v>22</x:v>
      </x:c>
      <x:c r="C12" s="4" t="s">
        <x:v>23</x:v>
      </x:c>
      <x:c r="D12" s="5" t="str">
        <x:v>Yes</x:v>
      </x:c>
      <x:c r="E12" s="5" t="str">
        <x:v>CONFIRMED</x:v>
      </x:c>
      <x:c r="F12" s="5" t="str">
        <x:v>Independent review completed against all six case transcripts and the stated Protocol requirements.</x:v>
      </x:c>
    </x:row>
    <x:row r="13" ht="15" hidden="0">
      <x:c r="A13" s="4" t="s">
        <x:v>24</x:v>
      </x:c>
      <x:c r="B13" s="4"/>
      <x:c r="C13" s="4" t="s">
        <x:v>25</x:v>
      </x:c>
      <x:c r="D13" s="5" t="str">
        <x:v>GoldReviewer01</x:v>
      </x:c>
      <x:c r="E13" s="5" t="str">
        <x:v>RECORDED</x:v>
      </x:c>
      <x:c r="F13" s="5" t="str">
        <x:v>MSc graduate with experience in semi-structured interviewing and qualitative data analysis. I reviewed the case materials, reference standards and scoring criteria independently before completing the sign-off.</x:v>
      </x:c>
    </x:row>
    <x:row r="14" ht="15" hidden="0">
      <x:c r="A14" s="4" t="s">
        <x:v>26</x:v>
      </x:c>
      <x:c r="B14" s="4"/>
      <x:c r="C14" s="4" t="s">
        <x:v>25</x:v>
      </x:c>
      <x:c r="D14" s="5" t="str">
        <x:v>2026-08-11</x:v>
      </x:c>
      <x:c r="E14" s="5" t="str">
        <x:v>RECORDED</x:v>
      </x:c>
      <x:c r="F14" s="5"/>
    </x:row>
    <x:row r="15" ht="15" hidden="0">
      <x:c r="A15" s="4" t="s">
        <x:v>27</x:v>
      </x:c>
      <x:c r="B15" s="4"/>
      <x:c r="C15" s="4" t="s">
        <x:v>28</x:v>
      </x:c>
      <x:c r="D15" s="5" t="str">
        <x:v>Yes</x:v>
      </x:c>
      <x:c r="E15" s="5" t="str">
        <x:v>RESOLVED</x:v>
      </x:c>
      <x:c r="F15" s="5" t="str">
        <x:v>No amendments were required.</x:v>
      </x:c>
    </x:row>
    <x:row r="16" ht="15" hidden="0">
      <x:c r="A16" s="4" t="s">
        <x:v>29</x:v>
      </x:c>
      <x:c r="B16" s="4"/>
      <x:c r="C16" s="4" t="s">
        <x:v>30</x:v>
      </x:c>
      <x:c r="D16" s="5" t="str">
        <x:v>Freeze</x:v>
      </x:c>
      <x:c r="E16" s="5" t="str">
        <x:v>RECOMMENDED</x:v>
      </x:c>
      <x:c r="F16" s="5" t="str">
        <x:v>Pilot-02 was completed without a material amendment; the reviewed Gold is ready for re-hashing and freeze.</x:v>
      </x:c>
    </x:row>
    <x:row r="17" ht="15" hidden="0">
      <x:c r="A17" s="4"/>
      <x:c r="B17" s="4"/>
      <x:c r="C17" s="4"/>
      <x:c r="D17" s="5"/>
      <x:c r="E17" s="5"/>
      <x:c r="F17" s="5"/>
    </x:row>
  </x:sheetData>
  <x:mergeCells>
    <x:mergeCell ref="A1:F1"/>
    <x:mergeCell ref="A2:F2"/>
  </x:mergeCells>
  <x:dataValidations count="3">
    <x:dataValidation type="list" errorStyle="stop" operator="between" allowBlank="0" showDropDown="0" showInputMessage="0" showErrorMessage="0" sqref="D12">
      <x:formula1>"Yes,No"</x:formula1>
      <x:formula2>0</x:formula2>
    </x:dataValidation>
    <x:dataValidation type="list" errorStyle="stop" operator="between" allowBlank="0" showDropDown="0" showInputMessage="0" showErrorMessage="0" sqref="D15">
      <x:formula1>"Yes,No"</x:formula1>
      <x:formula2>0</x:formula2>
    </x:dataValidation>
    <x:dataValidation type="list" errorStyle="stop" operator="between" allowBlank="0" showDropDown="0" showInputMessage="0" showErrorMessage="0" sqref="D16">
      <x:formula1>"Freeze,Do not freeze"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65" hidden="0" customWidth="1"/>
    <x:col min="4" max="4" width="26" hidden="0" customWidth="1"/>
    <x:col min="5" max="5" width="24" hidden="0" customWidth="1"/>
    <x:col min="6" max="6" width="36" hidden="0" customWidth="1"/>
    <x:col min="7" max="7" width="52" hidden="0" customWidth="1"/>
  </x:cols>
  <x:sheetData>
    <x:row r="1" ht="30" hidden="0" customHeight="1">
      <x:c r="A1" s="1" t="s">
        <x:v>31</x:v>
      </x:c>
      <x:c r="B1" s="1"/>
      <x:c r="C1" s="1"/>
      <x:c r="D1" s="1"/>
      <x:c r="E1" s="1"/>
      <x:c r="F1" s="1"/>
      <x:c r="G1" s="1"/>
    </x:row>
    <x:row r="2" ht="32" hidden="0" customHeight="1">
      <x:c r="A2" s="2" t="s">
        <x:v>32</x:v>
      </x:c>
      <x:c r="B2" s="2"/>
      <x:c r="C2" s="2"/>
      <x:c r="D2" s="2"/>
      <x:c r="E2" s="2"/>
      <x:c r="F2" s="2"/>
      <x:c r="G2" s="2"/>
    </x:row>
    <x:row r="4" ht="15" hidden="0">
      <x:c r="A4" s="3" t="s">
        <x:v>33</x:v>
      </x:c>
      <x:c r="B4" s="3" t="s">
        <x:v>34</x:v>
      </x:c>
      <x:c r="C4" s="3" t="s">
        <x:v>35</x:v>
      </x:c>
      <x:c r="D4" s="3" t="s">
        <x:v>36</x:v>
      </x:c>
      <x:c r="E4" s="3" t="s">
        <x:v>37</x:v>
      </x:c>
      <x:c r="F4" s="3" t="s">
        <x:v>38</x:v>
      </x:c>
      <x:c r="G4" s="3" t="s">
        <x:v>39</x:v>
      </x:c>
    </x:row>
    <x:row r="5" ht="35.04999923706055" hidden="0">
      <x:c r="A5" s="4" t="s">
        <x:v>40</x:v>
      </x:c>
      <x:c r="B5" s="4" t="s">
        <x:v>41</x:v>
      </x:c>
      <x:c r="C5" s="4" t="s">
        <x:v>42</x:v>
      </x:c>
      <x:c r="D5" s="4" t="s">
        <x:v>43</x:v>
      </x:c>
      <x:c r="E5" s="4" t="s">
        <x:v>44</x:v>
      </x:c>
      <x:c r="F5" s="4"/>
      <x:c r="G5" s="5"/>
    </x:row>
    <x:row r="6" ht="35.04999923706055" hidden="0">
      <x:c r="A6" s="4" t="s">
        <x:v>45</x:v>
      </x:c>
      <x:c r="B6" s="4" t="s">
        <x:v>46</x:v>
      </x:c>
      <x:c r="C6" s="4" t="s">
        <x:v>47</x:v>
      </x:c>
      <x:c r="D6" s="4" t="s">
        <x:v>43</x:v>
      </x:c>
      <x:c r="E6" s="4" t="s">
        <x:v>44</x:v>
      </x:c>
      <x:c r="F6" s="4"/>
      <x:c r="G6" s="5"/>
    </x:row>
    <x:row r="7" ht="35.04999923706055" hidden="0">
      <x:c r="A7" s="4" t="s">
        <x:v>48</x:v>
      </x:c>
      <x:c r="B7" s="4" t="s">
        <x:v>49</x:v>
      </x:c>
      <x:c r="C7" s="4" t="s">
        <x:v>50</x:v>
      </x:c>
      <x:c r="D7" s="4" t="s">
        <x:v>43</x:v>
      </x:c>
      <x:c r="E7" s="4" t="s">
        <x:v>44</x:v>
      </x:c>
      <x:c r="F7" s="4"/>
      <x:c r="G7" s="5"/>
    </x:row>
    <x:row r="8" ht="35.04999923706055" hidden="0">
      <x:c r="A8" s="4" t="s">
        <x:v>51</x:v>
      </x:c>
      <x:c r="B8" s="4" t="s">
        <x:v>52</x:v>
      </x:c>
      <x:c r="C8" s="4" t="s">
        <x:v>53</x:v>
      </x:c>
      <x:c r="D8" s="4" t="s">
        <x:v>43</x:v>
      </x:c>
      <x:c r="E8" s="4" t="s">
        <x:v>54</x:v>
      </x:c>
      <x:c r="F8" s="4" t="s">
        <x:v>55</x:v>
      </x:c>
      <x:c r="G8" s="5"/>
    </x:row>
    <x:row r="11" ht="15" hidden="0">
      <x:c r="A11" s="3" t="s">
        <x:v>56</x:v>
      </x:c>
      <x:c r="B11" s="3" t="s">
        <x:v>57</x:v>
      </x:c>
      <x:c r="C11" s="3" t="s">
        <x:v>33</x:v>
      </x:c>
      <x:c r="D11" s="3" t="s">
        <x:v>58</x:v>
      </x:c>
    </x:row>
    <x:row r="12" ht="35.04999923706055" hidden="0">
      <x:c r="A12" s="4" t="s">
        <x:v>59</x:v>
      </x:c>
      <x:c r="B12" s="4" t="s">
        <x:v>60</x:v>
      </x:c>
      <x:c r="C12" s="4" t="s">
        <x:v>40</x:v>
      </x:c>
      <x:c r="D12" s="4" t="s">
        <x:v>41</x:v>
      </x:c>
    </x:row>
    <x:row r="13" ht="68.6500015258789" hidden="0">
      <x:c r="A13" s="4" t="s">
        <x:v>61</x:v>
      </x:c>
      <x:c r="B13" s="4" t="s">
        <x:v>62</x:v>
      </x:c>
      <x:c r="C13" s="4" t="s">
        <x:v>40</x:v>
      </x:c>
      <x:c r="D13" s="4" t="s">
        <x:v>63</x:v>
      </x:c>
    </x:row>
    <x:row r="14" ht="35.04999923706055" hidden="0">
      <x:c r="A14" s="4" t="s">
        <x:v>64</x:v>
      </x:c>
      <x:c r="B14" s="4" t="s">
        <x:v>60</x:v>
      </x:c>
      <x:c r="C14" s="4" t="s">
        <x:v>45</x:v>
      </x:c>
      <x:c r="D14" s="4" t="s">
        <x:v>46</x:v>
      </x:c>
    </x:row>
    <x:row r="15" ht="57.45000076293945" hidden="0">
      <x:c r="A15" s="4" t="s">
        <x:v>65</x:v>
      </x:c>
      <x:c r="B15" s="4" t="s">
        <x:v>62</x:v>
      </x:c>
      <x:c r="C15" s="4" t="s">
        <x:v>45</x:v>
      </x:c>
      <x:c r="D15" s="4" t="s">
        <x:v>66</x:v>
      </x:c>
    </x:row>
    <x:row r="16" ht="35.04999923706055" hidden="0">
      <x:c r="A16" s="4" t="s">
        <x:v>67</x:v>
      </x:c>
      <x:c r="B16" s="4" t="s">
        <x:v>60</x:v>
      </x:c>
      <x:c r="C16" s="4" t="s">
        <x:v>45</x:v>
      </x:c>
      <x:c r="D16" s="4" t="s">
        <x:v>68</x:v>
      </x:c>
    </x:row>
    <x:row r="17" ht="57.45000076293945" hidden="0">
      <x:c r="A17" s="4" t="s">
        <x:v>69</x:v>
      </x:c>
      <x:c r="B17" s="4" t="s">
        <x:v>62</x:v>
      </x:c>
      <x:c r="C17" s="4" t="s">
        <x:v>45</x:v>
      </x:c>
      <x:c r="D17" s="4" t="s">
        <x:v>70</x:v>
      </x:c>
    </x:row>
    <x:row r="18" ht="35.04999923706055" hidden="0">
      <x:c r="A18" s="4" t="s">
        <x:v>71</x:v>
      </x:c>
      <x:c r="B18" s="4" t="s">
        <x:v>60</x:v>
      </x:c>
      <x:c r="C18" s="4" t="s">
        <x:v>48</x:v>
      </x:c>
      <x:c r="D18" s="4" t="s">
        <x:v>49</x:v>
      </x:c>
    </x:row>
    <x:row r="19" ht="46.25" hidden="0">
      <x:c r="A19" s="4" t="s">
        <x:v>72</x:v>
      </x:c>
      <x:c r="B19" s="4" t="s">
        <x:v>62</x:v>
      </x:c>
      <x:c r="C19" s="4" t="s">
        <x:v>48</x:v>
      </x:c>
      <x:c r="D19" s="4" t="s">
        <x:v>73</x:v>
      </x:c>
    </x:row>
    <x:row r="20" ht="23.850000381469727" hidden="0">
      <x:c r="A20" s="4" t="s">
        <x:v>74</x:v>
      </x:c>
      <x:c r="B20" s="4" t="s">
        <x:v>60</x:v>
      </x:c>
      <x:c r="C20" s="4" t="s">
        <x:v>48</x:v>
      </x:c>
      <x:c r="D20" s="4" t="s">
        <x:v>75</x:v>
      </x:c>
    </x:row>
    <x:row r="21" ht="68.6500015258789" hidden="0">
      <x:c r="A21" s="4" t="s">
        <x:v>76</x:v>
      </x:c>
      <x:c r="B21" s="4" t="s">
        <x:v>62</x:v>
      </x:c>
      <x:c r="C21" s="4" t="s">
        <x:v>48</x:v>
      </x:c>
      <x:c r="D21" s="4" t="s">
        <x:v>77</x:v>
      </x:c>
    </x:row>
    <x:row r="22" ht="35.04999923706055" hidden="0">
      <x:c r="A22" s="4" t="s">
        <x:v>78</x:v>
      </x:c>
      <x:c r="B22" s="4" t="s">
        <x:v>60</x:v>
      </x:c>
      <x:c r="C22" s="4" t="s">
        <x:v>51</x:v>
      </x:c>
      <x:c r="D22" s="4" t="s">
        <x:v>52</x:v>
      </x:c>
    </x:row>
    <x:row r="23" ht="35.04999923706055" hidden="0">
      <x:c r="A23" s="4" t="s">
        <x:v>79</x:v>
      </x:c>
      <x:c r="B23" s="4" t="s">
        <x:v>62</x:v>
      </x:c>
      <x:c r="C23" s="4" t="s">
        <x:v>51</x:v>
      </x:c>
      <x:c r="D23" s="4" t="s">
        <x:v>80</x:v>
      </x:c>
    </x:row>
    <x:row r="24" ht="23.850000381469727" hidden="0">
      <x:c r="A24" s="4" t="s">
        <x:v>81</x:v>
      </x:c>
      <x:c r="B24" s="4" t="s">
        <x:v>60</x:v>
      </x:c>
      <x:c r="C24" s="4" t="s">
        <x:v>51</x:v>
      </x:c>
      <x:c r="D24" s="4" t="s">
        <x:v>82</x:v>
      </x:c>
    </x:row>
    <x:row r="25" ht="46.25" hidden="0">
      <x:c r="A25" s="4" t="s">
        <x:v>83</x:v>
      </x:c>
      <x:c r="B25" s="4" t="s">
        <x:v>62</x:v>
      </x:c>
      <x:c r="C25" s="4" t="s">
        <x:v>51</x:v>
      </x:c>
      <x:c r="D25" s="4" t="s">
        <x:v>84</x:v>
      </x:c>
    </x:row>
    <x:row r="28" ht="15" hidden="0">
      <x:c r="A28" s="3" t="s">
        <x:v>85</x:v>
      </x:c>
      <x:c r="B28" s="3" t="s">
        <x:v>33</x:v>
      </x:c>
      <x:c r="C28" s="3" t="s">
        <x:v>86</x:v>
      </x:c>
      <x:c r="D28" s="3" t="s">
        <x:v>87</x:v>
      </x:c>
      <x:c r="E28" s="3" t="s">
        <x:v>88</x:v>
      </x:c>
      <x:c r="F28" s="3" t="s">
        <x:v>89</x:v>
      </x:c>
      <x:c r="G28" s="3" t="s">
        <x:v>39</x:v>
      </x:c>
    </x:row>
    <x:row r="29" ht="23.850000381469727" hidden="0">
      <x:c r="A29" s="4" t="s">
        <x:v>90</x:v>
      </x:c>
      <x:c r="B29" s="4" t="s">
        <x:v>40</x:v>
      </x:c>
      <x:c r="C29" s="4" t="s">
        <x:v>91</x:v>
      </x:c>
      <x:c r="D29" s="4" t="s">
        <x:v>61</x:v>
      </x:c>
      <x:c r="E29" s="4" t="s">
        <x:v>92</x:v>
      </x:c>
      <x:c r="F29" s="4" t="s">
        <x:v>93</x:v>
      </x:c>
      <x:c r="G29" s="5"/>
    </x:row>
    <x:row r="30" ht="23.850000381469727" hidden="0">
      <x:c r="A30" s="4" t="s">
        <x:v>94</x:v>
      </x:c>
      <x:c r="B30" s="4" t="s">
        <x:v>45</x:v>
      </x:c>
      <x:c r="C30" s="4" t="s">
        <x:v>95</x:v>
      </x:c>
      <x:c r="D30" s="4" t="s">
        <x:v>96</x:v>
      </x:c>
      <x:c r="E30" s="4" t="s">
        <x:v>92</x:v>
      </x:c>
      <x:c r="F30" s="4" t="s">
        <x:v>93</x:v>
      </x:c>
      <x:c r="G30" s="5"/>
    </x:row>
    <x:row r="31" ht="23.850000381469727" hidden="0">
      <x:c r="A31" s="4" t="s">
        <x:v>97</x:v>
      </x:c>
      <x:c r="B31" s="4" t="s">
        <x:v>48</x:v>
      </x:c>
      <x:c r="C31" s="4" t="s">
        <x:v>98</x:v>
      </x:c>
      <x:c r="D31" s="4" t="s">
        <x:v>99</x:v>
      </x:c>
      <x:c r="E31" s="4" t="s">
        <x:v>100</x:v>
      </x:c>
      <x:c r="F31" s="4" t="s">
        <x:v>101</x:v>
      </x:c>
      <x:c r="G31" s="5"/>
    </x:row>
    <x:row r="32" ht="23.850000381469727" hidden="0">
      <x:c r="A32" s="4" t="s">
        <x:v>102</x:v>
      </x:c>
      <x:c r="B32" s="4" t="s">
        <x:v>48</x:v>
      </x:c>
      <x:c r="C32" s="4" t="s">
        <x:v>103</x:v>
      </x:c>
      <x:c r="D32" s="4" t="s">
        <x:v>72</x:v>
      </x:c>
      <x:c r="E32" s="4" t="s">
        <x:v>104</x:v>
      </x:c>
      <x:c r="F32" s="4" t="s">
        <x:v>105</x:v>
      </x:c>
      <x:c r="G32" s="5"/>
    </x:row>
    <x:row r="33" ht="23.850000381469727" hidden="0">
      <x:c r="A33" s="4" t="s">
        <x:v>106</x:v>
      </x:c>
      <x:c r="B33" s="4" t="s">
        <x:v>45</x:v>
      </x:c>
      <x:c r="C33" s="4" t="s">
        <x:v>107</x:v>
      </x:c>
      <x:c r="D33" s="4" t="s">
        <x:v>61</x:v>
      </x:c>
      <x:c r="E33" s="4" t="s">
        <x:v>108</x:v>
      </x:c>
      <x:c r="F33" s="4" t="s">
        <x:v>109</x:v>
      </x:c>
      <x:c r="G33" s="5"/>
    </x:row>
    <x:row r="34" ht="23.850000381469727" hidden="0">
      <x:c r="A34" s="4" t="s">
        <x:v>110</x:v>
      </x:c>
      <x:c r="B34" s="4" t="s">
        <x:v>51</x:v>
      </x:c>
      <x:c r="C34" s="4" t="s">
        <x:v>111</x:v>
      </x:c>
      <x:c r="D34" s="4" t="s">
        <x:v>112</x:v>
      </x:c>
      <x:c r="E34" s="4" t="s">
        <x:v>113</x:v>
      </x:c>
      <x:c r="F34" s="4" t="s">
        <x:v>114</x:v>
      </x:c>
      <x:c r="G34" s="5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65" hidden="0" customWidth="1"/>
    <x:col min="4" max="4" width="26" hidden="0" customWidth="1"/>
    <x:col min="5" max="5" width="24" hidden="0" customWidth="1"/>
    <x:col min="6" max="6" width="36" hidden="0" customWidth="1"/>
    <x:col min="7" max="7" width="52" hidden="0" customWidth="1"/>
  </x:cols>
  <x:sheetData>
    <x:row r="1" ht="30" hidden="0" customHeight="1">
      <x:c r="A1" s="1" t="s">
        <x:v>115</x:v>
      </x:c>
      <x:c r="B1" s="1"/>
      <x:c r="C1" s="1"/>
      <x:c r="D1" s="1"/>
      <x:c r="E1" s="1"/>
      <x:c r="F1" s="1"/>
      <x:c r="G1" s="1"/>
    </x:row>
    <x:row r="2" ht="32" hidden="0" customHeight="1">
      <x:c r="A2" s="2" t="s">
        <x:v>32</x:v>
      </x:c>
      <x:c r="B2" s="2"/>
      <x:c r="C2" s="2"/>
      <x:c r="D2" s="2"/>
      <x:c r="E2" s="2"/>
      <x:c r="F2" s="2"/>
      <x:c r="G2" s="2"/>
    </x:row>
    <x:row r="4" ht="15" hidden="0">
      <x:c r="A4" s="3" t="s">
        <x:v>33</x:v>
      </x:c>
      <x:c r="B4" s="3" t="s">
        <x:v>34</x:v>
      </x:c>
      <x:c r="C4" s="3" t="s">
        <x:v>35</x:v>
      </x:c>
      <x:c r="D4" s="3" t="s">
        <x:v>36</x:v>
      </x:c>
      <x:c r="E4" s="3" t="s">
        <x:v>37</x:v>
      </x:c>
      <x:c r="F4" s="3" t="s">
        <x:v>38</x:v>
      </x:c>
      <x:c r="G4" s="3" t="s">
        <x:v>39</x:v>
      </x:c>
    </x:row>
    <x:row r="5" ht="35.04999923706055" hidden="0">
      <x:c r="A5" s="4" t="s">
        <x:v>40</x:v>
      </x:c>
      <x:c r="B5" s="4" t="s">
        <x:v>41</x:v>
      </x:c>
      <x:c r="C5" s="4" t="s">
        <x:v>42</x:v>
      </x:c>
      <x:c r="D5" s="4" t="s">
        <x:v>43</x:v>
      </x:c>
      <x:c r="E5" s="4" t="s">
        <x:v>44</x:v>
      </x:c>
      <x:c r="F5" s="4"/>
      <x:c r="G5" s="5"/>
    </x:row>
    <x:row r="6" ht="35.04999923706055" hidden="0">
      <x:c r="A6" s="4" t="s">
        <x:v>45</x:v>
      </x:c>
      <x:c r="B6" s="4" t="s">
        <x:v>46</x:v>
      </x:c>
      <x:c r="C6" s="4" t="s">
        <x:v>47</x:v>
      </x:c>
      <x:c r="D6" s="4" t="s">
        <x:v>43</x:v>
      </x:c>
      <x:c r="E6" s="4" t="s">
        <x:v>44</x:v>
      </x:c>
      <x:c r="F6" s="4"/>
      <x:c r="G6" s="5"/>
    </x:row>
    <x:row r="7" ht="35.04999923706055" hidden="0">
      <x:c r="A7" s="4" t="s">
        <x:v>48</x:v>
      </x:c>
      <x:c r="B7" s="4" t="s">
        <x:v>49</x:v>
      </x:c>
      <x:c r="C7" s="4" t="s">
        <x:v>50</x:v>
      </x:c>
      <x:c r="D7" s="4" t="s">
        <x:v>43</x:v>
      </x:c>
      <x:c r="E7" s="4" t="s">
        <x:v>44</x:v>
      </x:c>
      <x:c r="F7" s="4"/>
      <x:c r="G7" s="5"/>
    </x:row>
    <x:row r="8" ht="35.04999923706055" hidden="0">
      <x:c r="A8" s="4" t="s">
        <x:v>51</x:v>
      </x:c>
      <x:c r="B8" s="4" t="s">
        <x:v>52</x:v>
      </x:c>
      <x:c r="C8" s="4" t="s">
        <x:v>53</x:v>
      </x:c>
      <x:c r="D8" s="4" t="s">
        <x:v>43</x:v>
      </x:c>
      <x:c r="E8" s="4" t="s">
        <x:v>54</x:v>
      </x:c>
      <x:c r="F8" s="4" t="s">
        <x:v>55</x:v>
      </x:c>
      <x:c r="G8" s="5"/>
    </x:row>
    <x:row r="11" ht="15" hidden="0">
      <x:c r="A11" s="3" t="s">
        <x:v>56</x:v>
      </x:c>
      <x:c r="B11" s="3" t="s">
        <x:v>57</x:v>
      </x:c>
      <x:c r="C11" s="3" t="s">
        <x:v>33</x:v>
      </x:c>
      <x:c r="D11" s="3" t="s">
        <x:v>58</x:v>
      </x:c>
    </x:row>
    <x:row r="12" ht="35.04999923706055" hidden="0">
      <x:c r="A12" s="4" t="s">
        <x:v>116</x:v>
      </x:c>
      <x:c r="B12" s="4" t="s">
        <x:v>60</x:v>
      </x:c>
      <x:c r="C12" s="4" t="s">
        <x:v>40</x:v>
      </x:c>
      <x:c r="D12" s="4" t="s">
        <x:v>41</x:v>
      </x:c>
    </x:row>
    <x:row r="13" ht="68.6500015258789" hidden="0">
      <x:c r="A13" s="4" t="s">
        <x:v>117</x:v>
      </x:c>
      <x:c r="B13" s="4" t="s">
        <x:v>62</x:v>
      </x:c>
      <x:c r="C13" s="4" t="s">
        <x:v>40</x:v>
      </x:c>
      <x:c r="D13" s="4" t="s">
        <x:v>118</x:v>
      </x:c>
    </x:row>
    <x:row r="14" ht="35.04999923706055" hidden="0">
      <x:c r="A14" s="4" t="s">
        <x:v>119</x:v>
      </x:c>
      <x:c r="B14" s="4" t="s">
        <x:v>60</x:v>
      </x:c>
      <x:c r="C14" s="4" t="s">
        <x:v>45</x:v>
      </x:c>
      <x:c r="D14" s="4" t="s">
        <x:v>46</x:v>
      </x:c>
    </x:row>
    <x:row r="15" ht="35.04999923706055" hidden="0">
      <x:c r="A15" s="4" t="s">
        <x:v>120</x:v>
      </x:c>
      <x:c r="B15" s="4" t="s">
        <x:v>62</x:v>
      </x:c>
      <x:c r="C15" s="4" t="s">
        <x:v>45</x:v>
      </x:c>
      <x:c r="D15" s="4" t="s">
        <x:v>121</x:v>
      </x:c>
    </x:row>
    <x:row r="16" ht="35.04999923706055" hidden="0">
      <x:c r="A16" s="4" t="s">
        <x:v>122</x:v>
      </x:c>
      <x:c r="B16" s="4" t="s">
        <x:v>60</x:v>
      </x:c>
      <x:c r="C16" s="4" t="s">
        <x:v>45</x:v>
      </x:c>
      <x:c r="D16" s="4" t="s">
        <x:v>68</x:v>
      </x:c>
    </x:row>
    <x:row r="17" ht="46.25" hidden="0">
      <x:c r="A17" s="4" t="s">
        <x:v>123</x:v>
      </x:c>
      <x:c r="B17" s="4" t="s">
        <x:v>62</x:v>
      </x:c>
      <x:c r="C17" s="4" t="s">
        <x:v>45</x:v>
      </x:c>
      <x:c r="D17" s="4" t="s">
        <x:v>124</x:v>
      </x:c>
    </x:row>
    <x:row r="18" ht="35.04999923706055" hidden="0">
      <x:c r="A18" s="4" t="s">
        <x:v>125</x:v>
      </x:c>
      <x:c r="B18" s="4" t="s">
        <x:v>60</x:v>
      </x:c>
      <x:c r="C18" s="4" t="s">
        <x:v>48</x:v>
      </x:c>
      <x:c r="D18" s="4" t="s">
        <x:v>49</x:v>
      </x:c>
    </x:row>
    <x:row r="19" ht="57.45000076293945" hidden="0">
      <x:c r="A19" s="4" t="s">
        <x:v>126</x:v>
      </x:c>
      <x:c r="B19" s="4" t="s">
        <x:v>62</x:v>
      </x:c>
      <x:c r="C19" s="4" t="s">
        <x:v>48</x:v>
      </x:c>
      <x:c r="D19" s="4" t="s">
        <x:v>127</x:v>
      </x:c>
    </x:row>
    <x:row r="20" ht="23.850000381469727" hidden="0">
      <x:c r="A20" s="4" t="s">
        <x:v>128</x:v>
      </x:c>
      <x:c r="B20" s="4" t="s">
        <x:v>60</x:v>
      </x:c>
      <x:c r="C20" s="4" t="s">
        <x:v>48</x:v>
      </x:c>
      <x:c r="D20" s="4" t="s">
        <x:v>75</x:v>
      </x:c>
    </x:row>
    <x:row r="21" ht="57.45000076293945" hidden="0">
      <x:c r="A21" s="4" t="s">
        <x:v>129</x:v>
      </x:c>
      <x:c r="B21" s="4" t="s">
        <x:v>62</x:v>
      </x:c>
      <x:c r="C21" s="4" t="s">
        <x:v>48</x:v>
      </x:c>
      <x:c r="D21" s="4" t="s">
        <x:v>130</x:v>
      </x:c>
    </x:row>
    <x:row r="22" ht="35.04999923706055" hidden="0">
      <x:c r="A22" s="4" t="s">
        <x:v>131</x:v>
      </x:c>
      <x:c r="B22" s="4" t="s">
        <x:v>60</x:v>
      </x:c>
      <x:c r="C22" s="4" t="s">
        <x:v>51</x:v>
      </x:c>
      <x:c r="D22" s="4" t="s">
        <x:v>52</x:v>
      </x:c>
    </x:row>
    <x:row r="23" ht="35.04999923706055" hidden="0">
      <x:c r="A23" s="4" t="s">
        <x:v>132</x:v>
      </x:c>
      <x:c r="B23" s="4" t="s">
        <x:v>62</x:v>
      </x:c>
      <x:c r="C23" s="4" t="s">
        <x:v>51</x:v>
      </x:c>
      <x:c r="D23" s="4" t="s">
        <x:v>133</x:v>
      </x:c>
    </x:row>
    <x:row r="24" ht="23.850000381469727" hidden="0">
      <x:c r="A24" s="4" t="s">
        <x:v>134</x:v>
      </x:c>
      <x:c r="B24" s="4" t="s">
        <x:v>60</x:v>
      </x:c>
      <x:c r="C24" s="4" t="s">
        <x:v>51</x:v>
      </x:c>
      <x:c r="D24" s="4" t="s">
        <x:v>82</x:v>
      </x:c>
    </x:row>
    <x:row r="25" ht="57.45000076293945" hidden="0">
      <x:c r="A25" s="4" t="s">
        <x:v>135</x:v>
      </x:c>
      <x:c r="B25" s="4" t="s">
        <x:v>62</x:v>
      </x:c>
      <x:c r="C25" s="4" t="s">
        <x:v>51</x:v>
      </x:c>
      <x:c r="D25" s="4" t="s">
        <x:v>136</x:v>
      </x:c>
    </x:row>
    <x:row r="28" ht="15" hidden="0">
      <x:c r="A28" s="3" t="s">
        <x:v>85</x:v>
      </x:c>
      <x:c r="B28" s="3" t="s">
        <x:v>33</x:v>
      </x:c>
      <x:c r="C28" s="3" t="s">
        <x:v>86</x:v>
      </x:c>
      <x:c r="D28" s="3" t="s">
        <x:v>87</x:v>
      </x:c>
      <x:c r="E28" s="3" t="s">
        <x:v>88</x:v>
      </x:c>
      <x:c r="F28" s="3" t="s">
        <x:v>89</x:v>
      </x:c>
      <x:c r="G28" s="3" t="s">
        <x:v>39</x:v>
      </x:c>
    </x:row>
    <x:row r="29" ht="23.850000381469727" hidden="0">
      <x:c r="A29" s="4" t="s">
        <x:v>137</x:v>
      </x:c>
      <x:c r="B29" s="4" t="s">
        <x:v>40</x:v>
      </x:c>
      <x:c r="C29" s="4" t="s">
        <x:v>138</x:v>
      </x:c>
      <x:c r="D29" s="4" t="s">
        <x:v>117</x:v>
      </x:c>
      <x:c r="E29" s="4" t="s">
        <x:v>92</x:v>
      </x:c>
      <x:c r="F29" s="4" t="s">
        <x:v>93</x:v>
      </x:c>
      <x:c r="G29" s="5"/>
    </x:row>
    <x:row r="30" ht="23.850000381469727" hidden="0">
      <x:c r="A30" s="4" t="s">
        <x:v>139</x:v>
      </x:c>
      <x:c r="B30" s="4" t="s">
        <x:v>45</x:v>
      </x:c>
      <x:c r="C30" s="4" t="s">
        <x:v>140</x:v>
      </x:c>
      <x:c r="D30" s="4" t="s">
        <x:v>141</x:v>
      </x:c>
      <x:c r="E30" s="4" t="s">
        <x:v>92</x:v>
      </x:c>
      <x:c r="F30" s="4" t="s">
        <x:v>93</x:v>
      </x:c>
      <x:c r="G30" s="5"/>
    </x:row>
    <x:row r="31" ht="23.850000381469727" hidden="0">
      <x:c r="A31" s="4" t="s">
        <x:v>142</x:v>
      </x:c>
      <x:c r="B31" s="4" t="s">
        <x:v>48</x:v>
      </x:c>
      <x:c r="C31" s="4" t="s">
        <x:v>143</x:v>
      </x:c>
      <x:c r="D31" s="4" t="s">
        <x:v>144</x:v>
      </x:c>
      <x:c r="E31" s="4" t="s">
        <x:v>100</x:v>
      </x:c>
      <x:c r="F31" s="4" t="s">
        <x:v>101</x:v>
      </x:c>
      <x:c r="G31" s="5"/>
    </x:row>
    <x:row r="32" ht="15" hidden="0">
      <x:c r="A32" s="4" t="s">
        <x:v>145</x:v>
      </x:c>
      <x:c r="B32" s="4" t="s">
        <x:v>48</x:v>
      </x:c>
      <x:c r="C32" s="4" t="s">
        <x:v>146</x:v>
      </x:c>
      <x:c r="D32" s="4" t="s">
        <x:v>126</x:v>
      </x:c>
      <x:c r="E32" s="4" t="s">
        <x:v>104</x:v>
      </x:c>
      <x:c r="F32" s="4" t="s">
        <x:v>105</x:v>
      </x:c>
      <x:c r="G32" s="5"/>
    </x:row>
    <x:row r="33" ht="23.850000381469727" hidden="0">
      <x:c r="A33" s="4" t="s">
        <x:v>147</x:v>
      </x:c>
      <x:c r="B33" s="4" t="s">
        <x:v>45</x:v>
      </x:c>
      <x:c r="C33" s="4" t="s">
        <x:v>148</x:v>
      </x:c>
      <x:c r="D33" s="4" t="s">
        <x:v>117</x:v>
      </x:c>
      <x:c r="E33" s="4" t="s">
        <x:v>108</x:v>
      </x:c>
      <x:c r="F33" s="4" t="s">
        <x:v>109</x:v>
      </x:c>
      <x:c r="G33" s="5"/>
    </x:row>
    <x:row r="34" ht="23.850000381469727" hidden="0">
      <x:c r="A34" s="4" t="s">
        <x:v>149</x:v>
      </x:c>
      <x:c r="B34" s="4" t="s">
        <x:v>51</x:v>
      </x:c>
      <x:c r="C34" s="4" t="s">
        <x:v>150</x:v>
      </x:c>
      <x:c r="D34" s="4" t="s">
        <x:v>151</x:v>
      </x:c>
      <x:c r="E34" s="4" t="s">
        <x:v>113</x:v>
      </x:c>
      <x:c r="F34" s="4" t="s">
        <x:v>114</x:v>
      </x:c>
      <x:c r="G34" s="5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65" hidden="0" customWidth="1"/>
    <x:col min="4" max="4" width="26" hidden="0" customWidth="1"/>
    <x:col min="5" max="5" width="24" hidden="0" customWidth="1"/>
    <x:col min="6" max="6" width="36" hidden="0" customWidth="1"/>
    <x:col min="7" max="7" width="52" hidden="0" customWidth="1"/>
  </x:cols>
  <x:sheetData>
    <x:row r="1" ht="30" hidden="0" customHeight="1">
      <x:c r="A1" s="1" t="s">
        <x:v>152</x:v>
      </x:c>
      <x:c r="B1" s="1"/>
      <x:c r="C1" s="1"/>
      <x:c r="D1" s="1"/>
      <x:c r="E1" s="1"/>
      <x:c r="F1" s="1"/>
      <x:c r="G1" s="1"/>
    </x:row>
    <x:row r="2" ht="32" hidden="0" customHeight="1">
      <x:c r="A2" s="2" t="s">
        <x:v>153</x:v>
      </x:c>
      <x:c r="B2" s="2"/>
      <x:c r="C2" s="2"/>
      <x:c r="D2" s="2"/>
      <x:c r="E2" s="2"/>
      <x:c r="F2" s="2"/>
      <x:c r="G2" s="2"/>
    </x:row>
    <x:row r="4" ht="15" hidden="0">
      <x:c r="A4" s="3" t="s">
        <x:v>33</x:v>
      </x:c>
      <x:c r="B4" s="3" t="s">
        <x:v>34</x:v>
      </x:c>
      <x:c r="C4" s="3" t="s">
        <x:v>35</x:v>
      </x:c>
      <x:c r="D4" s="3" t="s">
        <x:v>36</x:v>
      </x:c>
      <x:c r="E4" s="3" t="s">
        <x:v>37</x:v>
      </x:c>
      <x:c r="F4" s="3" t="s">
        <x:v>38</x:v>
      </x:c>
      <x:c r="G4" s="3" t="s">
        <x:v>39</x:v>
      </x:c>
    </x:row>
    <x:row r="5" ht="46.25" hidden="0">
      <x:c r="A5" s="4" t="s">
        <x:v>154</x:v>
      </x:c>
      <x:c r="B5" s="4" t="s">
        <x:v>155</x:v>
      </x:c>
      <x:c r="C5" s="4" t="s">
        <x:v>156</x:v>
      </x:c>
      <x:c r="D5" s="4" t="s">
        <x:v>43</x:v>
      </x:c>
      <x:c r="E5" s="4" t="s">
        <x:v>44</x:v>
      </x:c>
      <x:c r="F5" s="4"/>
      <x:c r="G5" s="5"/>
    </x:row>
    <x:row r="6" ht="46.25" hidden="0">
      <x:c r="A6" s="4" t="s">
        <x:v>157</x:v>
      </x:c>
      <x:c r="B6" s="4" t="s">
        <x:v>158</x:v>
      </x:c>
      <x:c r="C6" s="4" t="s">
        <x:v>159</x:v>
      </x:c>
      <x:c r="D6" s="4" t="s">
        <x:v>43</x:v>
      </x:c>
      <x:c r="E6" s="4" t="s">
        <x:v>44</x:v>
      </x:c>
      <x:c r="F6" s="4"/>
      <x:c r="G6" s="5"/>
    </x:row>
    <x:row r="7" ht="35.04999923706055" hidden="0">
      <x:c r="A7" s="4" t="s">
        <x:v>160</x:v>
      </x:c>
      <x:c r="B7" s="4" t="s">
        <x:v>161</x:v>
      </x:c>
      <x:c r="C7" s="4" t="s">
        <x:v>162</x:v>
      </x:c>
      <x:c r="D7" s="4" t="s">
        <x:v>43</x:v>
      </x:c>
      <x:c r="E7" s="4" t="s">
        <x:v>44</x:v>
      </x:c>
      <x:c r="F7" s="4"/>
      <x:c r="G7" s="5"/>
    </x:row>
    <x:row r="8" ht="35.04999923706055" hidden="0">
      <x:c r="A8" s="4" t="s">
        <x:v>163</x:v>
      </x:c>
      <x:c r="B8" s="4" t="s">
        <x:v>164</x:v>
      </x:c>
      <x:c r="C8" s="4" t="s">
        <x:v>165</x:v>
      </x:c>
      <x:c r="D8" s="4" t="s">
        <x:v>43</x:v>
      </x:c>
      <x:c r="E8" s="4" t="s">
        <x:v>54</x:v>
      </x:c>
      <x:c r="F8" s="4" t="s">
        <x:v>166</x:v>
      </x:c>
      <x:c r="G8" s="5"/>
    </x:row>
    <x:row r="11" ht="15" hidden="0">
      <x:c r="A11" s="3" t="s">
        <x:v>56</x:v>
      </x:c>
      <x:c r="B11" s="3" t="s">
        <x:v>57</x:v>
      </x:c>
      <x:c r="C11" s="3" t="s">
        <x:v>33</x:v>
      </x:c>
      <x:c r="D11" s="3" t="s">
        <x:v>58</x:v>
      </x:c>
    </x:row>
    <x:row r="12" ht="46.25" hidden="0">
      <x:c r="A12" s="4" t="s">
        <x:v>59</x:v>
      </x:c>
      <x:c r="B12" s="4" t="s">
        <x:v>60</x:v>
      </x:c>
      <x:c r="C12" s="4" t="s">
        <x:v>154</x:v>
      </x:c>
      <x:c r="D12" s="4" t="s">
        <x:v>155</x:v>
      </x:c>
    </x:row>
    <x:row r="13" ht="68.6500015258789" hidden="0">
      <x:c r="A13" s="4" t="s">
        <x:v>61</x:v>
      </x:c>
      <x:c r="B13" s="4" t="s">
        <x:v>62</x:v>
      </x:c>
      <x:c r="C13" s="4" t="s">
        <x:v>154</x:v>
      </x:c>
      <x:c r="D13" s="4" t="s">
        <x:v>167</x:v>
      </x:c>
    </x:row>
    <x:row r="14" ht="46.25" hidden="0">
      <x:c r="A14" s="4" t="s">
        <x:v>64</x:v>
      </x:c>
      <x:c r="B14" s="4" t="s">
        <x:v>60</x:v>
      </x:c>
      <x:c r="C14" s="4" t="s">
        <x:v>157</x:v>
      </x:c>
      <x:c r="D14" s="4" t="s">
        <x:v>158</x:v>
      </x:c>
    </x:row>
    <x:row r="15" ht="46.25" hidden="0">
      <x:c r="A15" s="4" t="s">
        <x:v>65</x:v>
      </x:c>
      <x:c r="B15" s="4" t="s">
        <x:v>62</x:v>
      </x:c>
      <x:c r="C15" s="4" t="s">
        <x:v>157</x:v>
      </x:c>
      <x:c r="D15" s="4" t="s">
        <x:v>168</x:v>
      </x:c>
    </x:row>
    <x:row r="16" ht="35.04999923706055" hidden="0">
      <x:c r="A16" s="4" t="s">
        <x:v>67</x:v>
      </x:c>
      <x:c r="B16" s="4" t="s">
        <x:v>60</x:v>
      </x:c>
      <x:c r="C16" s="4" t="s">
        <x:v>157</x:v>
      </x:c>
      <x:c r="D16" s="4" t="s">
        <x:v>169</x:v>
      </x:c>
    </x:row>
    <x:row r="17" ht="68.6500015258789" hidden="0">
      <x:c r="A17" s="4" t="s">
        <x:v>69</x:v>
      </x:c>
      <x:c r="B17" s="4" t="s">
        <x:v>62</x:v>
      </x:c>
      <x:c r="C17" s="4" t="s">
        <x:v>157</x:v>
      </x:c>
      <x:c r="D17" s="4" t="s">
        <x:v>170</x:v>
      </x:c>
    </x:row>
    <x:row r="18" ht="46.25" hidden="0">
      <x:c r="A18" s="4" t="s">
        <x:v>71</x:v>
      </x:c>
      <x:c r="B18" s="4" t="s">
        <x:v>60</x:v>
      </x:c>
      <x:c r="C18" s="4" t="s">
        <x:v>160</x:v>
      </x:c>
      <x:c r="D18" s="4" t="s">
        <x:v>161</x:v>
      </x:c>
    </x:row>
    <x:row r="19" ht="57.45000076293945" hidden="0">
      <x:c r="A19" s="4" t="s">
        <x:v>72</x:v>
      </x:c>
      <x:c r="B19" s="4" t="s">
        <x:v>62</x:v>
      </x:c>
      <x:c r="C19" s="4" t="s">
        <x:v>160</x:v>
      </x:c>
      <x:c r="D19" s="4" t="s">
        <x:v>171</x:v>
      </x:c>
    </x:row>
    <x:row r="20" ht="23.850000381469727" hidden="0">
      <x:c r="A20" s="4" t="s">
        <x:v>74</x:v>
      </x:c>
      <x:c r="B20" s="4" t="s">
        <x:v>60</x:v>
      </x:c>
      <x:c r="C20" s="4" t="s">
        <x:v>160</x:v>
      </x:c>
      <x:c r="D20" s="4" t="s">
        <x:v>172</x:v>
      </x:c>
    </x:row>
    <x:row r="21" ht="68.6500015258789" hidden="0">
      <x:c r="A21" s="4" t="s">
        <x:v>76</x:v>
      </x:c>
      <x:c r="B21" s="4" t="s">
        <x:v>62</x:v>
      </x:c>
      <x:c r="C21" s="4" t="s">
        <x:v>160</x:v>
      </x:c>
      <x:c r="D21" s="4" t="s">
        <x:v>173</x:v>
      </x:c>
    </x:row>
    <x:row r="22" ht="46.25" hidden="0">
      <x:c r="A22" s="4" t="s">
        <x:v>78</x:v>
      </x:c>
      <x:c r="B22" s="4" t="s">
        <x:v>60</x:v>
      </x:c>
      <x:c r="C22" s="4" t="s">
        <x:v>163</x:v>
      </x:c>
      <x:c r="D22" s="4" t="s">
        <x:v>164</x:v>
      </x:c>
    </x:row>
    <x:row r="23" ht="35.04999923706055" hidden="0">
      <x:c r="A23" s="4" t="s">
        <x:v>79</x:v>
      </x:c>
      <x:c r="B23" s="4" t="s">
        <x:v>62</x:v>
      </x:c>
      <x:c r="C23" s="4" t="s">
        <x:v>163</x:v>
      </x:c>
      <x:c r="D23" s="4" t="s">
        <x:v>174</x:v>
      </x:c>
    </x:row>
    <x:row r="24" ht="35.04999923706055" hidden="0">
      <x:c r="A24" s="4" t="s">
        <x:v>81</x:v>
      </x:c>
      <x:c r="B24" s="4" t="s">
        <x:v>60</x:v>
      </x:c>
      <x:c r="C24" s="4" t="s">
        <x:v>163</x:v>
      </x:c>
      <x:c r="D24" s="4" t="s">
        <x:v>175</x:v>
      </x:c>
    </x:row>
    <x:row r="25" ht="68.6500015258789" hidden="0">
      <x:c r="A25" s="4" t="s">
        <x:v>83</x:v>
      </x:c>
      <x:c r="B25" s="4" t="s">
        <x:v>62</x:v>
      </x:c>
      <x:c r="C25" s="4" t="s">
        <x:v>163</x:v>
      </x:c>
      <x:c r="D25" s="4" t="s">
        <x:v>176</x:v>
      </x:c>
    </x:row>
    <x:row r="28" ht="15" hidden="0">
      <x:c r="A28" s="3" t="s">
        <x:v>85</x:v>
      </x:c>
      <x:c r="B28" s="3" t="s">
        <x:v>33</x:v>
      </x:c>
      <x:c r="C28" s="3" t="s">
        <x:v>86</x:v>
      </x:c>
      <x:c r="D28" s="3" t="s">
        <x:v>87</x:v>
      </x:c>
      <x:c r="E28" s="3" t="s">
        <x:v>88</x:v>
      </x:c>
      <x:c r="F28" s="3" t="s">
        <x:v>89</x:v>
      </x:c>
      <x:c r="G28" s="3" t="s">
        <x:v>39</x:v>
      </x:c>
    </x:row>
    <x:row r="29" ht="23.850000381469727" hidden="0">
      <x:c r="A29" s="4" t="s">
        <x:v>177</x:v>
      </x:c>
      <x:c r="B29" s="4" t="s">
        <x:v>154</x:v>
      </x:c>
      <x:c r="C29" s="4" t="s">
        <x:v>178</x:v>
      </x:c>
      <x:c r="D29" s="4" t="s">
        <x:v>61</x:v>
      </x:c>
      <x:c r="E29" s="4" t="s">
        <x:v>92</x:v>
      </x:c>
      <x:c r="F29" s="4" t="s">
        <x:v>93</x:v>
      </x:c>
      <x:c r="G29" s="5"/>
    </x:row>
    <x:row r="30" ht="35.04999923706055" hidden="0">
      <x:c r="A30" s="4" t="s">
        <x:v>179</x:v>
      </x:c>
      <x:c r="B30" s="4" t="s">
        <x:v>157</x:v>
      </x:c>
      <x:c r="C30" s="4" t="s">
        <x:v>180</x:v>
      </x:c>
      <x:c r="D30" s="4" t="s">
        <x:v>96</x:v>
      </x:c>
      <x:c r="E30" s="4" t="s">
        <x:v>92</x:v>
      </x:c>
      <x:c r="F30" s="4" t="s">
        <x:v>93</x:v>
      </x:c>
      <x:c r="G30" s="5"/>
    </x:row>
    <x:row r="31" ht="23.850000381469727" hidden="0">
      <x:c r="A31" s="4" t="s">
        <x:v>181</x:v>
      </x:c>
      <x:c r="B31" s="4" t="s">
        <x:v>160</x:v>
      </x:c>
      <x:c r="C31" s="4" t="s">
        <x:v>182</x:v>
      </x:c>
      <x:c r="D31" s="4" t="s">
        <x:v>99</x:v>
      </x:c>
      <x:c r="E31" s="4" t="s">
        <x:v>100</x:v>
      </x:c>
      <x:c r="F31" s="4" t="s">
        <x:v>101</x:v>
      </x:c>
      <x:c r="G31" s="5"/>
    </x:row>
    <x:row r="32" ht="23.850000381469727" hidden="0">
      <x:c r="A32" s="4" t="s">
        <x:v>183</x:v>
      </x:c>
      <x:c r="B32" s="4" t="s">
        <x:v>157</x:v>
      </x:c>
      <x:c r="C32" s="4" t="s">
        <x:v>184</x:v>
      </x:c>
      <x:c r="D32" s="4" t="s">
        <x:v>65</x:v>
      </x:c>
      <x:c r="E32" s="4" t="s">
        <x:v>104</x:v>
      </x:c>
      <x:c r="F32" s="4" t="s">
        <x:v>105</x:v>
      </x:c>
      <x:c r="G32" s="5"/>
    </x:row>
    <x:row r="33" ht="23.850000381469727" hidden="0">
      <x:c r="A33" s="4" t="s">
        <x:v>185</x:v>
      </x:c>
      <x:c r="B33" s="4" t="s">
        <x:v>157</x:v>
      </x:c>
      <x:c r="C33" s="4" t="s">
        <x:v>186</x:v>
      </x:c>
      <x:c r="D33" s="4" t="s">
        <x:v>61</x:v>
      </x:c>
      <x:c r="E33" s="4" t="s">
        <x:v>108</x:v>
      </x:c>
      <x:c r="F33" s="4" t="s">
        <x:v>109</x:v>
      </x:c>
      <x:c r="G33" s="5"/>
    </x:row>
    <x:row r="34" ht="23.850000381469727" hidden="0">
      <x:c r="A34" s="4" t="s">
        <x:v>187</x:v>
      </x:c>
      <x:c r="B34" s="4" t="s">
        <x:v>163</x:v>
      </x:c>
      <x:c r="C34" s="4" t="s">
        <x:v>188</x:v>
      </x:c>
      <x:c r="D34" s="4" t="s">
        <x:v>112</x:v>
      </x:c>
      <x:c r="E34" s="4" t="s">
        <x:v>113</x:v>
      </x:c>
      <x:c r="F34" s="4" t="s">
        <x:v>114</x:v>
      </x:c>
      <x:c r="G34" s="5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65" hidden="0" customWidth="1"/>
    <x:col min="4" max="4" width="26" hidden="0" customWidth="1"/>
    <x:col min="5" max="5" width="24" hidden="0" customWidth="1"/>
    <x:col min="6" max="6" width="36" hidden="0" customWidth="1"/>
    <x:col min="7" max="7" width="52" hidden="0" customWidth="1"/>
  </x:cols>
  <x:sheetData>
    <x:row r="1" ht="30" hidden="0" customHeight="1">
      <x:c r="A1" s="1" t="s">
        <x:v>189</x:v>
      </x:c>
      <x:c r="B1" s="1"/>
      <x:c r="C1" s="1"/>
      <x:c r="D1" s="1"/>
      <x:c r="E1" s="1"/>
      <x:c r="F1" s="1"/>
      <x:c r="G1" s="1"/>
    </x:row>
    <x:row r="2" ht="32" hidden="0" customHeight="1">
      <x:c r="A2" s="2" t="s">
        <x:v>153</x:v>
      </x:c>
      <x:c r="B2" s="2"/>
      <x:c r="C2" s="2"/>
      <x:c r="D2" s="2"/>
      <x:c r="E2" s="2"/>
      <x:c r="F2" s="2"/>
      <x:c r="G2" s="2"/>
    </x:row>
    <x:row r="4" ht="15" hidden="0">
      <x:c r="A4" s="3" t="s">
        <x:v>33</x:v>
      </x:c>
      <x:c r="B4" s="3" t="s">
        <x:v>34</x:v>
      </x:c>
      <x:c r="C4" s="3" t="s">
        <x:v>35</x:v>
      </x:c>
      <x:c r="D4" s="3" t="s">
        <x:v>36</x:v>
      </x:c>
      <x:c r="E4" s="3" t="s">
        <x:v>37</x:v>
      </x:c>
      <x:c r="F4" s="3" t="s">
        <x:v>38</x:v>
      </x:c>
      <x:c r="G4" s="3" t="s">
        <x:v>39</x:v>
      </x:c>
    </x:row>
    <x:row r="5" ht="46.25" hidden="0">
      <x:c r="A5" s="4" t="s">
        <x:v>154</x:v>
      </x:c>
      <x:c r="B5" s="4" t="s">
        <x:v>155</x:v>
      </x:c>
      <x:c r="C5" s="4" t="s">
        <x:v>156</x:v>
      </x:c>
      <x:c r="D5" s="4" t="s">
        <x:v>43</x:v>
      </x:c>
      <x:c r="E5" s="4" t="s">
        <x:v>44</x:v>
      </x:c>
      <x:c r="F5" s="4"/>
      <x:c r="G5" s="5"/>
    </x:row>
    <x:row r="6" ht="46.25" hidden="0">
      <x:c r="A6" s="4" t="s">
        <x:v>157</x:v>
      </x:c>
      <x:c r="B6" s="4" t="s">
        <x:v>158</x:v>
      </x:c>
      <x:c r="C6" s="4" t="s">
        <x:v>159</x:v>
      </x:c>
      <x:c r="D6" s="4" t="s">
        <x:v>43</x:v>
      </x:c>
      <x:c r="E6" s="4" t="s">
        <x:v>44</x:v>
      </x:c>
      <x:c r="F6" s="4"/>
      <x:c r="G6" s="5"/>
    </x:row>
    <x:row r="7" ht="35.04999923706055" hidden="0">
      <x:c r="A7" s="4" t="s">
        <x:v>160</x:v>
      </x:c>
      <x:c r="B7" s="4" t="s">
        <x:v>161</x:v>
      </x:c>
      <x:c r="C7" s="4" t="s">
        <x:v>162</x:v>
      </x:c>
      <x:c r="D7" s="4" t="s">
        <x:v>43</x:v>
      </x:c>
      <x:c r="E7" s="4" t="s">
        <x:v>44</x:v>
      </x:c>
      <x:c r="F7" s="4"/>
      <x:c r="G7" s="5"/>
    </x:row>
    <x:row r="8" ht="35.04999923706055" hidden="0">
      <x:c r="A8" s="4" t="s">
        <x:v>163</x:v>
      </x:c>
      <x:c r="B8" s="4" t="s">
        <x:v>164</x:v>
      </x:c>
      <x:c r="C8" s="4" t="s">
        <x:v>165</x:v>
      </x:c>
      <x:c r="D8" s="4" t="s">
        <x:v>43</x:v>
      </x:c>
      <x:c r="E8" s="4" t="s">
        <x:v>54</x:v>
      </x:c>
      <x:c r="F8" s="4" t="s">
        <x:v>166</x:v>
      </x:c>
      <x:c r="G8" s="5"/>
    </x:row>
    <x:row r="11" ht="15" hidden="0">
      <x:c r="A11" s="3" t="s">
        <x:v>56</x:v>
      </x:c>
      <x:c r="B11" s="3" t="s">
        <x:v>57</x:v>
      </x:c>
      <x:c r="C11" s="3" t="s">
        <x:v>33</x:v>
      </x:c>
      <x:c r="D11" s="3" t="s">
        <x:v>58</x:v>
      </x:c>
    </x:row>
    <x:row r="12" ht="46.25" hidden="0">
      <x:c r="A12" s="4" t="s">
        <x:v>116</x:v>
      </x:c>
      <x:c r="B12" s="4" t="s">
        <x:v>60</x:v>
      </x:c>
      <x:c r="C12" s="4" t="s">
        <x:v>154</x:v>
      </x:c>
      <x:c r="D12" s="4" t="s">
        <x:v>155</x:v>
      </x:c>
    </x:row>
    <x:row r="13" ht="79.8499984741211" hidden="0">
      <x:c r="A13" s="4" t="s">
        <x:v>117</x:v>
      </x:c>
      <x:c r="B13" s="4" t="s">
        <x:v>62</x:v>
      </x:c>
      <x:c r="C13" s="4" t="s">
        <x:v>154</x:v>
      </x:c>
      <x:c r="D13" s="4" t="s">
        <x:v>190</x:v>
      </x:c>
    </x:row>
    <x:row r="14" ht="46.25" hidden="0">
      <x:c r="A14" s="4" t="s">
        <x:v>119</x:v>
      </x:c>
      <x:c r="B14" s="4" t="s">
        <x:v>60</x:v>
      </x:c>
      <x:c r="C14" s="4" t="s">
        <x:v>157</x:v>
      </x:c>
      <x:c r="D14" s="4" t="s">
        <x:v>158</x:v>
      </x:c>
    </x:row>
    <x:row r="15" ht="46.25" hidden="0">
      <x:c r="A15" s="4" t="s">
        <x:v>120</x:v>
      </x:c>
      <x:c r="B15" s="4" t="s">
        <x:v>62</x:v>
      </x:c>
      <x:c r="C15" s="4" t="s">
        <x:v>157</x:v>
      </x:c>
      <x:c r="D15" s="4" t="s">
        <x:v>191</x:v>
      </x:c>
    </x:row>
    <x:row r="16" ht="35.04999923706055" hidden="0">
      <x:c r="A16" s="4" t="s">
        <x:v>122</x:v>
      </x:c>
      <x:c r="B16" s="4" t="s">
        <x:v>60</x:v>
      </x:c>
      <x:c r="C16" s="4" t="s">
        <x:v>157</x:v>
      </x:c>
      <x:c r="D16" s="4" t="s">
        <x:v>169</x:v>
      </x:c>
    </x:row>
    <x:row r="17" ht="102.19999694824219" hidden="0">
      <x:c r="A17" s="4" t="s">
        <x:v>123</x:v>
      </x:c>
      <x:c r="B17" s="4" t="s">
        <x:v>62</x:v>
      </x:c>
      <x:c r="C17" s="4" t="s">
        <x:v>157</x:v>
      </x:c>
      <x:c r="D17" s="4" t="s">
        <x:v>192</x:v>
      </x:c>
    </x:row>
    <x:row r="18" ht="46.25" hidden="0">
      <x:c r="A18" s="4" t="s">
        <x:v>125</x:v>
      </x:c>
      <x:c r="B18" s="4" t="s">
        <x:v>60</x:v>
      </x:c>
      <x:c r="C18" s="4" t="s">
        <x:v>160</x:v>
      </x:c>
      <x:c r="D18" s="4" t="s">
        <x:v>161</x:v>
      </x:c>
    </x:row>
    <x:row r="19" ht="57.45000076293945" hidden="0">
      <x:c r="A19" s="4" t="s">
        <x:v>126</x:v>
      </x:c>
      <x:c r="B19" s="4" t="s">
        <x:v>62</x:v>
      </x:c>
      <x:c r="C19" s="4" t="s">
        <x:v>160</x:v>
      </x:c>
      <x:c r="D19" s="4" t="s">
        <x:v>193</x:v>
      </x:c>
    </x:row>
    <x:row r="20" ht="23.850000381469727" hidden="0">
      <x:c r="A20" s="4" t="s">
        <x:v>128</x:v>
      </x:c>
      <x:c r="B20" s="4" t="s">
        <x:v>60</x:v>
      </x:c>
      <x:c r="C20" s="4" t="s">
        <x:v>160</x:v>
      </x:c>
      <x:c r="D20" s="4" t="s">
        <x:v>172</x:v>
      </x:c>
    </x:row>
    <x:row r="21" ht="57.45000076293945" hidden="0">
      <x:c r="A21" s="4" t="s">
        <x:v>129</x:v>
      </x:c>
      <x:c r="B21" s="4" t="s">
        <x:v>62</x:v>
      </x:c>
      <x:c r="C21" s="4" t="s">
        <x:v>160</x:v>
      </x:c>
      <x:c r="D21" s="4" t="s">
        <x:v>194</x:v>
      </x:c>
    </x:row>
    <x:row r="22" ht="46.25" hidden="0">
      <x:c r="A22" s="4" t="s">
        <x:v>131</x:v>
      </x:c>
      <x:c r="B22" s="4" t="s">
        <x:v>60</x:v>
      </x:c>
      <x:c r="C22" s="4" t="s">
        <x:v>163</x:v>
      </x:c>
      <x:c r="D22" s="4" t="s">
        <x:v>164</x:v>
      </x:c>
    </x:row>
    <x:row r="23" ht="46.25" hidden="0">
      <x:c r="A23" s="4" t="s">
        <x:v>132</x:v>
      </x:c>
      <x:c r="B23" s="4" t="s">
        <x:v>62</x:v>
      </x:c>
      <x:c r="C23" s="4" t="s">
        <x:v>163</x:v>
      </x:c>
      <x:c r="D23" s="4" t="s">
        <x:v>195</x:v>
      </x:c>
    </x:row>
    <x:row r="24" ht="35.04999923706055" hidden="0">
      <x:c r="A24" s="4" t="s">
        <x:v>134</x:v>
      </x:c>
      <x:c r="B24" s="4" t="s">
        <x:v>60</x:v>
      </x:c>
      <x:c r="C24" s="4" t="s">
        <x:v>163</x:v>
      </x:c>
      <x:c r="D24" s="4" t="s">
        <x:v>175</x:v>
      </x:c>
    </x:row>
    <x:row r="25" ht="68.6500015258789" hidden="0">
      <x:c r="A25" s="4" t="s">
        <x:v>135</x:v>
      </x:c>
      <x:c r="B25" s="4" t="s">
        <x:v>62</x:v>
      </x:c>
      <x:c r="C25" s="4" t="s">
        <x:v>163</x:v>
      </x:c>
      <x:c r="D25" s="4" t="s">
        <x:v>196</x:v>
      </x:c>
    </x:row>
    <x:row r="28" ht="15" hidden="0">
      <x:c r="A28" s="3" t="s">
        <x:v>85</x:v>
      </x:c>
      <x:c r="B28" s="3" t="s">
        <x:v>33</x:v>
      </x:c>
      <x:c r="C28" s="3" t="s">
        <x:v>86</x:v>
      </x:c>
      <x:c r="D28" s="3" t="s">
        <x:v>87</x:v>
      </x:c>
      <x:c r="E28" s="3" t="s">
        <x:v>88</x:v>
      </x:c>
      <x:c r="F28" s="3" t="s">
        <x:v>89</x:v>
      </x:c>
      <x:c r="G28" s="3" t="s">
        <x:v>39</x:v>
      </x:c>
    </x:row>
    <x:row r="29" ht="35.04999923706055" hidden="0">
      <x:c r="A29" s="4" t="s">
        <x:v>197</x:v>
      </x:c>
      <x:c r="B29" s="4" t="s">
        <x:v>154</x:v>
      </x:c>
      <x:c r="C29" s="4" t="s">
        <x:v>198</x:v>
      </x:c>
      <x:c r="D29" s="4" t="s">
        <x:v>117</x:v>
      </x:c>
      <x:c r="E29" s="4" t="s">
        <x:v>92</x:v>
      </x:c>
      <x:c r="F29" s="4" t="s">
        <x:v>93</x:v>
      </x:c>
      <x:c r="G29" s="5"/>
    </x:row>
    <x:row r="30" ht="46.25" hidden="0">
      <x:c r="A30" s="4" t="s">
        <x:v>199</x:v>
      </x:c>
      <x:c r="B30" s="4" t="s">
        <x:v>157</x:v>
      </x:c>
      <x:c r="C30" s="4" t="s">
        <x:v>200</x:v>
      </x:c>
      <x:c r="D30" s="4" t="s">
        <x:v>141</x:v>
      </x:c>
      <x:c r="E30" s="4" t="s">
        <x:v>92</x:v>
      </x:c>
      <x:c r="F30" s="4" t="s">
        <x:v>93</x:v>
      </x:c>
      <x:c r="G30" s="5"/>
    </x:row>
    <x:row r="31" ht="23.850000381469727" hidden="0">
      <x:c r="A31" s="4" t="s">
        <x:v>201</x:v>
      </x:c>
      <x:c r="B31" s="4" t="s">
        <x:v>160</x:v>
      </x:c>
      <x:c r="C31" s="4" t="s">
        <x:v>202</x:v>
      </x:c>
      <x:c r="D31" s="4" t="s">
        <x:v>144</x:v>
      </x:c>
      <x:c r="E31" s="4" t="s">
        <x:v>100</x:v>
      </x:c>
      <x:c r="F31" s="4" t="s">
        <x:v>101</x:v>
      </x:c>
      <x:c r="G31" s="5"/>
    </x:row>
    <x:row r="32" ht="23.850000381469727" hidden="0">
      <x:c r="A32" s="4" t="s">
        <x:v>203</x:v>
      </x:c>
      <x:c r="B32" s="4" t="s">
        <x:v>157</x:v>
      </x:c>
      <x:c r="C32" s="4" t="s">
        <x:v>204</x:v>
      </x:c>
      <x:c r="D32" s="4" t="s">
        <x:v>123</x:v>
      </x:c>
      <x:c r="E32" s="4" t="s">
        <x:v>104</x:v>
      </x:c>
      <x:c r="F32" s="4" t="s">
        <x:v>105</x:v>
      </x:c>
      <x:c r="G32" s="5"/>
    </x:row>
    <x:row r="33" ht="23.850000381469727" hidden="0">
      <x:c r="A33" s="4" t="s">
        <x:v>205</x:v>
      </x:c>
      <x:c r="B33" s="4" t="s">
        <x:v>157</x:v>
      </x:c>
      <x:c r="C33" s="4" t="s">
        <x:v>206</x:v>
      </x:c>
      <x:c r="D33" s="4" t="s">
        <x:v>117</x:v>
      </x:c>
      <x:c r="E33" s="4" t="s">
        <x:v>108</x:v>
      </x:c>
      <x:c r="F33" s="4" t="s">
        <x:v>109</x:v>
      </x:c>
      <x:c r="G33" s="5"/>
    </x:row>
    <x:row r="34" ht="23.850000381469727" hidden="0">
      <x:c r="A34" s="4" t="s">
        <x:v>207</x:v>
      </x:c>
      <x:c r="B34" s="4" t="s">
        <x:v>163</x:v>
      </x:c>
      <x:c r="C34" s="4" t="s">
        <x:v>208</x:v>
      </x:c>
      <x:c r="D34" s="4" t="s">
        <x:v>151</x:v>
      </x:c>
      <x:c r="E34" s="4" t="s">
        <x:v>113</x:v>
      </x:c>
      <x:c r="F34" s="4" t="s">
        <x:v>114</x:v>
      </x:c>
      <x:c r="G34" s="5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65" hidden="0" customWidth="1"/>
    <x:col min="4" max="4" width="26" hidden="0" customWidth="1"/>
    <x:col min="5" max="5" width="24" hidden="0" customWidth="1"/>
    <x:col min="6" max="6" width="36" hidden="0" customWidth="1"/>
    <x:col min="7" max="7" width="52" hidden="0" customWidth="1"/>
  </x:cols>
  <x:sheetData>
    <x:row r="1" ht="30" hidden="0" customHeight="1">
      <x:c r="A1" s="1" t="s">
        <x:v>209</x:v>
      </x:c>
      <x:c r="B1" s="1"/>
      <x:c r="C1" s="1"/>
      <x:c r="D1" s="1"/>
      <x:c r="E1" s="1"/>
      <x:c r="F1" s="1"/>
      <x:c r="G1" s="1"/>
    </x:row>
    <x:row r="2" ht="32" hidden="0" customHeight="1">
      <x:c r="A2" s="2" t="s">
        <x:v>210</x:v>
      </x:c>
      <x:c r="B2" s="2"/>
      <x:c r="C2" s="2"/>
      <x:c r="D2" s="2"/>
      <x:c r="E2" s="2"/>
      <x:c r="F2" s="2"/>
      <x:c r="G2" s="2"/>
    </x:row>
    <x:row r="4" ht="15" hidden="0">
      <x:c r="A4" s="3" t="s">
        <x:v>33</x:v>
      </x:c>
      <x:c r="B4" s="3" t="s">
        <x:v>34</x:v>
      </x:c>
      <x:c r="C4" s="3" t="s">
        <x:v>35</x:v>
      </x:c>
      <x:c r="D4" s="3" t="s">
        <x:v>36</x:v>
      </x:c>
      <x:c r="E4" s="3" t="s">
        <x:v>37</x:v>
      </x:c>
      <x:c r="F4" s="3" t="s">
        <x:v>38</x:v>
      </x:c>
      <x:c r="G4" s="3" t="s">
        <x:v>39</x:v>
      </x:c>
    </x:row>
    <x:row r="5" ht="46.25" hidden="0">
      <x:c r="A5" s="4" t="s">
        <x:v>211</x:v>
      </x:c>
      <x:c r="B5" s="4" t="s">
        <x:v>212</x:v>
      </x:c>
      <x:c r="C5" s="4" t="s">
        <x:v>213</x:v>
      </x:c>
      <x:c r="D5" s="4" t="s">
        <x:v>43</x:v>
      </x:c>
      <x:c r="E5" s="4" t="s">
        <x:v>44</x:v>
      </x:c>
      <x:c r="F5" s="4"/>
      <x:c r="G5" s="5"/>
    </x:row>
    <x:row r="6" ht="35.04999923706055" hidden="0">
      <x:c r="A6" s="4" t="s">
        <x:v>214</x:v>
      </x:c>
      <x:c r="B6" s="4" t="s">
        <x:v>215</x:v>
      </x:c>
      <x:c r="C6" s="4" t="s">
        <x:v>216</x:v>
      </x:c>
      <x:c r="D6" s="4" t="s">
        <x:v>43</x:v>
      </x:c>
      <x:c r="E6" s="4" t="s">
        <x:v>44</x:v>
      </x:c>
      <x:c r="F6" s="4"/>
      <x:c r="G6" s="5"/>
    </x:row>
    <x:row r="7" ht="35.04999923706055" hidden="0">
      <x:c r="A7" s="4" t="s">
        <x:v>217</x:v>
      </x:c>
      <x:c r="B7" s="4" t="s">
        <x:v>218</x:v>
      </x:c>
      <x:c r="C7" s="4" t="s">
        <x:v>219</x:v>
      </x:c>
      <x:c r="D7" s="4" t="s">
        <x:v>43</x:v>
      </x:c>
      <x:c r="E7" s="4" t="s">
        <x:v>44</x:v>
      </x:c>
      <x:c r="F7" s="4"/>
      <x:c r="G7" s="5"/>
    </x:row>
    <x:row r="8" ht="35.04999923706055" hidden="0">
      <x:c r="A8" s="4" t="s">
        <x:v>220</x:v>
      </x:c>
      <x:c r="B8" s="4" t="s">
        <x:v>221</x:v>
      </x:c>
      <x:c r="C8" s="4" t="s">
        <x:v>222</x:v>
      </x:c>
      <x:c r="D8" s="4" t="s">
        <x:v>43</x:v>
      </x:c>
      <x:c r="E8" s="4" t="s">
        <x:v>54</x:v>
      </x:c>
      <x:c r="F8" s="4" t="s">
        <x:v>223</x:v>
      </x:c>
      <x:c r="G8" s="5"/>
    </x:row>
    <x:row r="11" ht="15" hidden="0">
      <x:c r="A11" s="3" t="s">
        <x:v>56</x:v>
      </x:c>
      <x:c r="B11" s="3" t="s">
        <x:v>57</x:v>
      </x:c>
      <x:c r="C11" s="3" t="s">
        <x:v>33</x:v>
      </x:c>
      <x:c r="D11" s="3" t="s">
        <x:v>58</x:v>
      </x:c>
    </x:row>
    <x:row r="12" ht="46.25" hidden="0">
      <x:c r="A12" s="4" t="s">
        <x:v>59</x:v>
      </x:c>
      <x:c r="B12" s="4" t="s">
        <x:v>60</x:v>
      </x:c>
      <x:c r="C12" s="4" t="s">
        <x:v>211</x:v>
      </x:c>
      <x:c r="D12" s="4" t="s">
        <x:v>212</x:v>
      </x:c>
    </x:row>
    <x:row r="13" ht="68.6500015258789" hidden="0">
      <x:c r="A13" s="4" t="s">
        <x:v>61</x:v>
      </x:c>
      <x:c r="B13" s="4" t="s">
        <x:v>62</x:v>
      </x:c>
      <x:c r="C13" s="4" t="s">
        <x:v>211</x:v>
      </x:c>
      <x:c r="D13" s="4" t="s">
        <x:v>224</x:v>
      </x:c>
    </x:row>
    <x:row r="14" ht="35.04999923706055" hidden="0">
      <x:c r="A14" s="4" t="s">
        <x:v>64</x:v>
      </x:c>
      <x:c r="B14" s="4" t="s">
        <x:v>60</x:v>
      </x:c>
      <x:c r="C14" s="4" t="s">
        <x:v>214</x:v>
      </x:c>
      <x:c r="D14" s="4" t="s">
        <x:v>215</x:v>
      </x:c>
    </x:row>
    <x:row r="15" ht="57.45000076293945" hidden="0">
      <x:c r="A15" s="4" t="s">
        <x:v>65</x:v>
      </x:c>
      <x:c r="B15" s="4" t="s">
        <x:v>62</x:v>
      </x:c>
      <x:c r="C15" s="4" t="s">
        <x:v>214</x:v>
      </x:c>
      <x:c r="D15" s="4" t="s">
        <x:v>225</x:v>
      </x:c>
    </x:row>
    <x:row r="16" ht="23.850000381469727" hidden="0">
      <x:c r="A16" s="4" t="s">
        <x:v>67</x:v>
      </x:c>
      <x:c r="B16" s="4" t="s">
        <x:v>60</x:v>
      </x:c>
      <x:c r="C16" s="4" t="s">
        <x:v>214</x:v>
      </x:c>
      <x:c r="D16" s="4" t="s">
        <x:v>226</x:v>
      </x:c>
    </x:row>
    <x:row r="17" ht="68.6500015258789" hidden="0">
      <x:c r="A17" s="4" t="s">
        <x:v>69</x:v>
      </x:c>
      <x:c r="B17" s="4" t="s">
        <x:v>62</x:v>
      </x:c>
      <x:c r="C17" s="4" t="s">
        <x:v>214</x:v>
      </x:c>
      <x:c r="D17" s="4" t="s">
        <x:v>227</x:v>
      </x:c>
    </x:row>
    <x:row r="18" ht="35.04999923706055" hidden="0">
      <x:c r="A18" s="4" t="s">
        <x:v>71</x:v>
      </x:c>
      <x:c r="B18" s="4" t="s">
        <x:v>60</x:v>
      </x:c>
      <x:c r="C18" s="4" t="s">
        <x:v>217</x:v>
      </x:c>
      <x:c r="D18" s="4" t="s">
        <x:v>218</x:v>
      </x:c>
    </x:row>
    <x:row r="19" ht="46.25" hidden="0">
      <x:c r="A19" s="4" t="s">
        <x:v>72</x:v>
      </x:c>
      <x:c r="B19" s="4" t="s">
        <x:v>62</x:v>
      </x:c>
      <x:c r="C19" s="4" t="s">
        <x:v>217</x:v>
      </x:c>
      <x:c r="D19" s="4" t="s">
        <x:v>228</x:v>
      </x:c>
    </x:row>
    <x:row r="20" ht="23.850000381469727" hidden="0">
      <x:c r="A20" s="4" t="s">
        <x:v>74</x:v>
      </x:c>
      <x:c r="B20" s="4" t="s">
        <x:v>60</x:v>
      </x:c>
      <x:c r="C20" s="4" t="s">
        <x:v>217</x:v>
      </x:c>
      <x:c r="D20" s="4" t="s">
        <x:v>229</x:v>
      </x:c>
    </x:row>
    <x:row r="21" ht="57.45000076293945" hidden="0">
      <x:c r="A21" s="4" t="s">
        <x:v>76</x:v>
      </x:c>
      <x:c r="B21" s="4" t="s">
        <x:v>62</x:v>
      </x:c>
      <x:c r="C21" s="4" t="s">
        <x:v>217</x:v>
      </x:c>
      <x:c r="D21" s="4" t="s">
        <x:v>230</x:v>
      </x:c>
    </x:row>
    <x:row r="22" ht="35.04999923706055" hidden="0">
      <x:c r="A22" s="4" t="s">
        <x:v>78</x:v>
      </x:c>
      <x:c r="B22" s="4" t="s">
        <x:v>60</x:v>
      </x:c>
      <x:c r="C22" s="4" t="s">
        <x:v>220</x:v>
      </x:c>
      <x:c r="D22" s="4" t="s">
        <x:v>221</x:v>
      </x:c>
    </x:row>
    <x:row r="23" ht="35.04999923706055" hidden="0">
      <x:c r="A23" s="4" t="s">
        <x:v>79</x:v>
      </x:c>
      <x:c r="B23" s="4" t="s">
        <x:v>62</x:v>
      </x:c>
      <x:c r="C23" s="4" t="s">
        <x:v>220</x:v>
      </x:c>
      <x:c r="D23" s="4" t="s">
        <x:v>231</x:v>
      </x:c>
    </x:row>
    <x:row r="24" ht="35.04999923706055" hidden="0">
      <x:c r="A24" s="4" t="s">
        <x:v>81</x:v>
      </x:c>
      <x:c r="B24" s="4" t="s">
        <x:v>60</x:v>
      </x:c>
      <x:c r="C24" s="4" t="s">
        <x:v>220</x:v>
      </x:c>
      <x:c r="D24" s="4" t="s">
        <x:v>232</x:v>
      </x:c>
    </x:row>
    <x:row r="25" ht="68.6500015258789" hidden="0">
      <x:c r="A25" s="4" t="s">
        <x:v>83</x:v>
      </x:c>
      <x:c r="B25" s="4" t="s">
        <x:v>62</x:v>
      </x:c>
      <x:c r="C25" s="4" t="s">
        <x:v>220</x:v>
      </x:c>
      <x:c r="D25" s="4" t="s">
        <x:v>233</x:v>
      </x:c>
    </x:row>
    <x:row r="28" ht="15" hidden="0">
      <x:c r="A28" s="3" t="s">
        <x:v>85</x:v>
      </x:c>
      <x:c r="B28" s="3" t="s">
        <x:v>33</x:v>
      </x:c>
      <x:c r="C28" s="3" t="s">
        <x:v>86</x:v>
      </x:c>
      <x:c r="D28" s="3" t="s">
        <x:v>87</x:v>
      </x:c>
      <x:c r="E28" s="3" t="s">
        <x:v>88</x:v>
      </x:c>
      <x:c r="F28" s="3" t="s">
        <x:v>89</x:v>
      </x:c>
      <x:c r="G28" s="3" t="s">
        <x:v>39</x:v>
      </x:c>
    </x:row>
    <x:row r="29" ht="23.850000381469727" hidden="0">
      <x:c r="A29" s="4" t="s">
        <x:v>234</x:v>
      </x:c>
      <x:c r="B29" s="4" t="s">
        <x:v>211</x:v>
      </x:c>
      <x:c r="C29" s="4" t="s">
        <x:v>235</x:v>
      </x:c>
      <x:c r="D29" s="4" t="s">
        <x:v>61</x:v>
      </x:c>
      <x:c r="E29" s="4" t="s">
        <x:v>92</x:v>
      </x:c>
      <x:c r="F29" s="4" t="s">
        <x:v>93</x:v>
      </x:c>
      <x:c r="G29" s="5"/>
    </x:row>
    <x:row r="30" ht="23.850000381469727" hidden="0">
      <x:c r="A30" s="4" t="s">
        <x:v>236</x:v>
      </x:c>
      <x:c r="B30" s="4" t="s">
        <x:v>214</x:v>
      </x:c>
      <x:c r="C30" s="4" t="s">
        <x:v>237</x:v>
      </x:c>
      <x:c r="D30" s="4" t="s">
        <x:v>96</x:v>
      </x:c>
      <x:c r="E30" s="4" t="s">
        <x:v>92</x:v>
      </x:c>
      <x:c r="F30" s="4" t="s">
        <x:v>93</x:v>
      </x:c>
      <x:c r="G30" s="5"/>
    </x:row>
    <x:row r="31" ht="23.850000381469727" hidden="0">
      <x:c r="A31" s="4" t="s">
        <x:v>238</x:v>
      </x:c>
      <x:c r="B31" s="4" t="s">
        <x:v>217</x:v>
      </x:c>
      <x:c r="C31" s="4" t="s">
        <x:v>239</x:v>
      </x:c>
      <x:c r="D31" s="4" t="s">
        <x:v>99</x:v>
      </x:c>
      <x:c r="E31" s="4" t="s">
        <x:v>100</x:v>
      </x:c>
      <x:c r="F31" s="4" t="s">
        <x:v>101</x:v>
      </x:c>
      <x:c r="G31" s="5"/>
    </x:row>
    <x:row r="32" ht="15" hidden="0">
      <x:c r="A32" s="4" t="s">
        <x:v>240</x:v>
      </x:c>
      <x:c r="B32" s="4" t="s">
        <x:v>214</x:v>
      </x:c>
      <x:c r="C32" s="4" t="s">
        <x:v>241</x:v>
      </x:c>
      <x:c r="D32" s="4" t="s">
        <x:v>69</x:v>
      </x:c>
      <x:c r="E32" s="4" t="s">
        <x:v>104</x:v>
      </x:c>
      <x:c r="F32" s="4" t="s">
        <x:v>105</x:v>
      </x:c>
      <x:c r="G32" s="5"/>
    </x:row>
    <x:row r="33" ht="23.850000381469727" hidden="0">
      <x:c r="A33" s="4" t="s">
        <x:v>242</x:v>
      </x:c>
      <x:c r="B33" s="4" t="s">
        <x:v>214</x:v>
      </x:c>
      <x:c r="C33" s="4" t="s">
        <x:v>243</x:v>
      </x:c>
      <x:c r="D33" s="4" t="s">
        <x:v>61</x:v>
      </x:c>
      <x:c r="E33" s="4" t="s">
        <x:v>108</x:v>
      </x:c>
      <x:c r="F33" s="4" t="s">
        <x:v>109</x:v>
      </x:c>
      <x:c r="G33" s="5"/>
    </x:row>
    <x:row r="34" ht="23.850000381469727" hidden="0">
      <x:c r="A34" s="4" t="s">
        <x:v>244</x:v>
      </x:c>
      <x:c r="B34" s="4" t="s">
        <x:v>220</x:v>
      </x:c>
      <x:c r="C34" s="4" t="s">
        <x:v>245</x:v>
      </x:c>
      <x:c r="D34" s="4" t="s">
        <x:v>112</x:v>
      </x:c>
      <x:c r="E34" s="4" t="s">
        <x:v>113</x:v>
      </x:c>
      <x:c r="F34" s="4" t="s">
        <x:v>114</x:v>
      </x:c>
      <x:c r="G34" s="5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65" hidden="0" customWidth="1"/>
    <x:col min="4" max="4" width="26" hidden="0" customWidth="1"/>
    <x:col min="5" max="5" width="24" hidden="0" customWidth="1"/>
    <x:col min="6" max="6" width="36" hidden="0" customWidth="1"/>
    <x:col min="7" max="7" width="52" hidden="0" customWidth="1"/>
  </x:cols>
  <x:sheetData>
    <x:row r="1" ht="30" hidden="0" customHeight="1">
      <x:c r="A1" s="1" t="s">
        <x:v>246</x:v>
      </x:c>
      <x:c r="B1" s="1"/>
      <x:c r="C1" s="1"/>
      <x:c r="D1" s="1"/>
      <x:c r="E1" s="1"/>
      <x:c r="F1" s="1"/>
      <x:c r="G1" s="1"/>
    </x:row>
    <x:row r="2" ht="32" hidden="0" customHeight="1">
      <x:c r="A2" s="2" t="s">
        <x:v>210</x:v>
      </x:c>
      <x:c r="B2" s="2"/>
      <x:c r="C2" s="2"/>
      <x:c r="D2" s="2"/>
      <x:c r="E2" s="2"/>
      <x:c r="F2" s="2"/>
      <x:c r="G2" s="2"/>
    </x:row>
    <x:row r="4" ht="15" hidden="0">
      <x:c r="A4" s="3" t="s">
        <x:v>33</x:v>
      </x:c>
      <x:c r="B4" s="3" t="s">
        <x:v>34</x:v>
      </x:c>
      <x:c r="C4" s="3" t="s">
        <x:v>35</x:v>
      </x:c>
      <x:c r="D4" s="3" t="s">
        <x:v>36</x:v>
      </x:c>
      <x:c r="E4" s="3" t="s">
        <x:v>37</x:v>
      </x:c>
      <x:c r="F4" s="3" t="s">
        <x:v>38</x:v>
      </x:c>
      <x:c r="G4" s="3" t="s">
        <x:v>39</x:v>
      </x:c>
    </x:row>
    <x:row r="5" ht="46.25" hidden="0">
      <x:c r="A5" s="4" t="s">
        <x:v>211</x:v>
      </x:c>
      <x:c r="B5" s="4" t="s">
        <x:v>212</x:v>
      </x:c>
      <x:c r="C5" s="4" t="s">
        <x:v>213</x:v>
      </x:c>
      <x:c r="D5" s="4" t="s">
        <x:v>43</x:v>
      </x:c>
      <x:c r="E5" s="4" t="s">
        <x:v>44</x:v>
      </x:c>
      <x:c r="F5" s="4"/>
      <x:c r="G5" s="5"/>
    </x:row>
    <x:row r="6" ht="35.04999923706055" hidden="0">
      <x:c r="A6" s="4" t="s">
        <x:v>214</x:v>
      </x:c>
      <x:c r="B6" s="4" t="s">
        <x:v>215</x:v>
      </x:c>
      <x:c r="C6" s="4" t="s">
        <x:v>216</x:v>
      </x:c>
      <x:c r="D6" s="4" t="s">
        <x:v>43</x:v>
      </x:c>
      <x:c r="E6" s="4" t="s">
        <x:v>44</x:v>
      </x:c>
      <x:c r="F6" s="4"/>
      <x:c r="G6" s="5"/>
    </x:row>
    <x:row r="7" ht="35.04999923706055" hidden="0">
      <x:c r="A7" s="4" t="s">
        <x:v>217</x:v>
      </x:c>
      <x:c r="B7" s="4" t="s">
        <x:v>218</x:v>
      </x:c>
      <x:c r="C7" s="4" t="s">
        <x:v>219</x:v>
      </x:c>
      <x:c r="D7" s="4" t="s">
        <x:v>43</x:v>
      </x:c>
      <x:c r="E7" s="4" t="s">
        <x:v>44</x:v>
      </x:c>
      <x:c r="F7" s="4"/>
      <x:c r="G7" s="5"/>
    </x:row>
    <x:row r="8" ht="35.04999923706055" hidden="0">
      <x:c r="A8" s="4" t="s">
        <x:v>220</x:v>
      </x:c>
      <x:c r="B8" s="4" t="s">
        <x:v>221</x:v>
      </x:c>
      <x:c r="C8" s="4" t="s">
        <x:v>222</x:v>
      </x:c>
      <x:c r="D8" s="4" t="s">
        <x:v>43</x:v>
      </x:c>
      <x:c r="E8" s="4" t="s">
        <x:v>54</x:v>
      </x:c>
      <x:c r="F8" s="4" t="s">
        <x:v>223</x:v>
      </x:c>
      <x:c r="G8" s="5"/>
    </x:row>
    <x:row r="11" ht="15" hidden="0">
      <x:c r="A11" s="3" t="s">
        <x:v>56</x:v>
      </x:c>
      <x:c r="B11" s="3" t="s">
        <x:v>57</x:v>
      </x:c>
      <x:c r="C11" s="3" t="s">
        <x:v>33</x:v>
      </x:c>
      <x:c r="D11" s="3" t="s">
        <x:v>58</x:v>
      </x:c>
    </x:row>
    <x:row r="12" ht="46.25" hidden="0">
      <x:c r="A12" s="4" t="s">
        <x:v>116</x:v>
      </x:c>
      <x:c r="B12" s="4" t="s">
        <x:v>60</x:v>
      </x:c>
      <x:c r="C12" s="4" t="s">
        <x:v>211</x:v>
      </x:c>
      <x:c r="D12" s="4" t="s">
        <x:v>212</x:v>
      </x:c>
    </x:row>
    <x:row r="13" ht="79.8499984741211" hidden="0">
      <x:c r="A13" s="4" t="s">
        <x:v>117</x:v>
      </x:c>
      <x:c r="B13" s="4" t="s">
        <x:v>62</x:v>
      </x:c>
      <x:c r="C13" s="4" t="s">
        <x:v>211</x:v>
      </x:c>
      <x:c r="D13" s="4" t="s">
        <x:v>247</x:v>
      </x:c>
    </x:row>
    <x:row r="14" ht="35.04999923706055" hidden="0">
      <x:c r="A14" s="4" t="s">
        <x:v>119</x:v>
      </x:c>
      <x:c r="B14" s="4" t="s">
        <x:v>60</x:v>
      </x:c>
      <x:c r="C14" s="4" t="s">
        <x:v>214</x:v>
      </x:c>
      <x:c r="D14" s="4" t="s">
        <x:v>215</x:v>
      </x:c>
    </x:row>
    <x:row r="15" ht="46.25" hidden="0">
      <x:c r="A15" s="4" t="s">
        <x:v>120</x:v>
      </x:c>
      <x:c r="B15" s="4" t="s">
        <x:v>62</x:v>
      </x:c>
      <x:c r="C15" s="4" t="s">
        <x:v>214</x:v>
      </x:c>
      <x:c r="D15" s="4" t="s">
        <x:v>248</x:v>
      </x:c>
    </x:row>
    <x:row r="16" ht="23.850000381469727" hidden="0">
      <x:c r="A16" s="4" t="s">
        <x:v>122</x:v>
      </x:c>
      <x:c r="B16" s="4" t="s">
        <x:v>60</x:v>
      </x:c>
      <x:c r="C16" s="4" t="s">
        <x:v>214</x:v>
      </x:c>
      <x:c r="D16" s="4" t="s">
        <x:v>226</x:v>
      </x:c>
    </x:row>
    <x:row r="17" ht="79.8499984741211" hidden="0">
      <x:c r="A17" s="4" t="s">
        <x:v>123</x:v>
      </x:c>
      <x:c r="B17" s="4" t="s">
        <x:v>62</x:v>
      </x:c>
      <x:c r="C17" s="4" t="s">
        <x:v>214</x:v>
      </x:c>
      <x:c r="D17" s="4" t="s">
        <x:v>249</x:v>
      </x:c>
    </x:row>
    <x:row r="18" ht="35.04999923706055" hidden="0">
      <x:c r="A18" s="4" t="s">
        <x:v>125</x:v>
      </x:c>
      <x:c r="B18" s="4" t="s">
        <x:v>60</x:v>
      </x:c>
      <x:c r="C18" s="4" t="s">
        <x:v>217</x:v>
      </x:c>
      <x:c r="D18" s="4" t="s">
        <x:v>218</x:v>
      </x:c>
    </x:row>
    <x:row r="19" ht="57.45000076293945" hidden="0">
      <x:c r="A19" s="4" t="s">
        <x:v>126</x:v>
      </x:c>
      <x:c r="B19" s="4" t="s">
        <x:v>62</x:v>
      </x:c>
      <x:c r="C19" s="4" t="s">
        <x:v>217</x:v>
      </x:c>
      <x:c r="D19" s="4" t="s">
        <x:v>250</x:v>
      </x:c>
    </x:row>
    <x:row r="20" ht="23.850000381469727" hidden="0">
      <x:c r="A20" s="4" t="s">
        <x:v>128</x:v>
      </x:c>
      <x:c r="B20" s="4" t="s">
        <x:v>60</x:v>
      </x:c>
      <x:c r="C20" s="4" t="s">
        <x:v>217</x:v>
      </x:c>
      <x:c r="D20" s="4" t="s">
        <x:v>229</x:v>
      </x:c>
    </x:row>
    <x:row r="21" ht="68.6500015258789" hidden="0">
      <x:c r="A21" s="4" t="s">
        <x:v>129</x:v>
      </x:c>
      <x:c r="B21" s="4" t="s">
        <x:v>62</x:v>
      </x:c>
      <x:c r="C21" s="4" t="s">
        <x:v>217</x:v>
      </x:c>
      <x:c r="D21" s="4" t="s">
        <x:v>251</x:v>
      </x:c>
    </x:row>
    <x:row r="22" ht="35.04999923706055" hidden="0">
      <x:c r="A22" s="4" t="s">
        <x:v>131</x:v>
      </x:c>
      <x:c r="B22" s="4" t="s">
        <x:v>60</x:v>
      </x:c>
      <x:c r="C22" s="4" t="s">
        <x:v>220</x:v>
      </x:c>
      <x:c r="D22" s="4" t="s">
        <x:v>221</x:v>
      </x:c>
    </x:row>
    <x:row r="23" ht="46.25" hidden="0">
      <x:c r="A23" s="4" t="s">
        <x:v>132</x:v>
      </x:c>
      <x:c r="B23" s="4" t="s">
        <x:v>62</x:v>
      </x:c>
      <x:c r="C23" s="4" t="s">
        <x:v>220</x:v>
      </x:c>
      <x:c r="D23" s="4" t="s">
        <x:v>252</x:v>
      </x:c>
    </x:row>
    <x:row r="24" ht="35.04999923706055" hidden="0">
      <x:c r="A24" s="4" t="s">
        <x:v>134</x:v>
      </x:c>
      <x:c r="B24" s="4" t="s">
        <x:v>60</x:v>
      </x:c>
      <x:c r="C24" s="4" t="s">
        <x:v>220</x:v>
      </x:c>
      <x:c r="D24" s="4" t="s">
        <x:v>232</x:v>
      </x:c>
    </x:row>
    <x:row r="25" ht="57.45000076293945" hidden="0">
      <x:c r="A25" s="4" t="s">
        <x:v>135</x:v>
      </x:c>
      <x:c r="B25" s="4" t="s">
        <x:v>62</x:v>
      </x:c>
      <x:c r="C25" s="4" t="s">
        <x:v>220</x:v>
      </x:c>
      <x:c r="D25" s="4" t="s">
        <x:v>253</x:v>
      </x:c>
    </x:row>
    <x:row r="28" ht="15" hidden="0">
      <x:c r="A28" s="3" t="s">
        <x:v>85</x:v>
      </x:c>
      <x:c r="B28" s="3" t="s">
        <x:v>33</x:v>
      </x:c>
      <x:c r="C28" s="3" t="s">
        <x:v>86</x:v>
      </x:c>
      <x:c r="D28" s="3" t="s">
        <x:v>87</x:v>
      </x:c>
      <x:c r="E28" s="3" t="s">
        <x:v>88</x:v>
      </x:c>
      <x:c r="F28" s="3" t="s">
        <x:v>89</x:v>
      </x:c>
      <x:c r="G28" s="3" t="s">
        <x:v>39</x:v>
      </x:c>
    </x:row>
    <x:row r="29" ht="23.850000381469727" hidden="0">
      <x:c r="A29" s="4" t="s">
        <x:v>254</x:v>
      </x:c>
      <x:c r="B29" s="4" t="s">
        <x:v>211</x:v>
      </x:c>
      <x:c r="C29" s="4" t="s">
        <x:v>255</x:v>
      </x:c>
      <x:c r="D29" s="4" t="s">
        <x:v>117</x:v>
      </x:c>
      <x:c r="E29" s="4" t="s">
        <x:v>92</x:v>
      </x:c>
      <x:c r="F29" s="4" t="s">
        <x:v>93</x:v>
      </x:c>
      <x:c r="G29" s="5"/>
    </x:row>
    <x:row r="30" ht="35.04999923706055" hidden="0">
      <x:c r="A30" s="4" t="s">
        <x:v>256</x:v>
      </x:c>
      <x:c r="B30" s="4" t="s">
        <x:v>214</x:v>
      </x:c>
      <x:c r="C30" s="4" t="s">
        <x:v>257</x:v>
      </x:c>
      <x:c r="D30" s="4" t="s">
        <x:v>141</x:v>
      </x:c>
      <x:c r="E30" s="4" t="s">
        <x:v>92</x:v>
      </x:c>
      <x:c r="F30" s="4" t="s">
        <x:v>93</x:v>
      </x:c>
      <x:c r="G30" s="5"/>
    </x:row>
    <x:row r="31" ht="23.850000381469727" hidden="0">
      <x:c r="A31" s="4" t="s">
        <x:v>258</x:v>
      </x:c>
      <x:c r="B31" s="4" t="s">
        <x:v>217</x:v>
      </x:c>
      <x:c r="C31" s="4" t="s">
        <x:v>259</x:v>
      </x:c>
      <x:c r="D31" s="4" t="s">
        <x:v>144</x:v>
      </x:c>
      <x:c r="E31" s="4" t="s">
        <x:v>100</x:v>
      </x:c>
      <x:c r="F31" s="4" t="s">
        <x:v>101</x:v>
      </x:c>
      <x:c r="G31" s="5"/>
    </x:row>
    <x:row r="32" ht="23.850000381469727" hidden="0">
      <x:c r="A32" s="4" t="s">
        <x:v>260</x:v>
      </x:c>
      <x:c r="B32" s="4" t="s">
        <x:v>214</x:v>
      </x:c>
      <x:c r="C32" s="4" t="s">
        <x:v>261</x:v>
      </x:c>
      <x:c r="D32" s="4" t="s">
        <x:v>120</x:v>
      </x:c>
      <x:c r="E32" s="4" t="s">
        <x:v>104</x:v>
      </x:c>
      <x:c r="F32" s="4" t="s">
        <x:v>105</x:v>
      </x:c>
      <x:c r="G32" s="5"/>
    </x:row>
    <x:row r="33" ht="23.850000381469727" hidden="0">
      <x:c r="A33" s="4" t="s">
        <x:v>262</x:v>
      </x:c>
      <x:c r="B33" s="4" t="s">
        <x:v>214</x:v>
      </x:c>
      <x:c r="C33" s="4" t="s">
        <x:v>263</x:v>
      </x:c>
      <x:c r="D33" s="4" t="s">
        <x:v>117</x:v>
      </x:c>
      <x:c r="E33" s="4" t="s">
        <x:v>108</x:v>
      </x:c>
      <x:c r="F33" s="4" t="s">
        <x:v>109</x:v>
      </x:c>
      <x:c r="G33" s="5"/>
    </x:row>
    <x:row r="34" ht="23.850000381469727" hidden="0">
      <x:c r="A34" s="4" t="s">
        <x:v>264</x:v>
      </x:c>
      <x:c r="B34" s="4" t="s">
        <x:v>220</x:v>
      </x:c>
      <x:c r="C34" s="4" t="s">
        <x:v>265</x:v>
      </x:c>
      <x:c r="D34" s="4" t="s">
        <x:v>151</x:v>
      </x:c>
      <x:c r="E34" s="4" t="s">
        <x:v>113</x:v>
      </x:c>
      <x:c r="F34" s="4" t="s">
        <x:v>114</x:v>
      </x:c>
      <x:c r="G34" s="5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4" hidden="0" customWidth="1"/>
    <x:col min="2" max="2" width="25" hidden="0" customWidth="1"/>
    <x:col min="3" max="3" width="28" hidden="0" customWidth="1"/>
    <x:col min="4" max="4" width="48" hidden="0" customWidth="1"/>
    <x:col min="5" max="5" width="24" hidden="0" customWidth="1"/>
    <x:col min="6" max="6" width="40" hidden="0" customWidth="1"/>
    <x:col min="7" max="7" width="18" hidden="0" customWidth="1"/>
    <x:col min="8" max="9" width="52" hidden="0" customWidth="1"/>
    <x:col min="10" max="10" width="22" hidden="0" customWidth="1"/>
    <x:col min="11" max="11" width="15" hidden="0" customWidth="1"/>
  </x:cols>
  <x:sheetData>
    <x:row r="1" ht="30" hidden="0" customHeight="1">
      <x:c r="A1" s="1" t="s">
        <x:v>266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2" hidden="0" customHeight="1">
      <x:c r="A2" s="2" t="str">
        <x:v>Twenty-four rows. GoldReviewer01 must Confirm or Amend every row.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15" hidden="0">
      <x:c r="A4" s="3" t="s">
        <x:v>267</x:v>
      </x:c>
      <x:c r="B4" s="3" t="s">
        <x:v>268</x:v>
      </x:c>
      <x:c r="C4" s="3" t="s">
        <x:v>33</x:v>
      </x:c>
      <x:c r="D4" s="3" t="s">
        <x:v>35</x:v>
      </x:c>
      <x:c r="E4" s="3" t="s">
        <x:v>269</x:v>
      </x:c>
      <x:c r="F4" s="3" t="s">
        <x:v>270</x:v>
      </x:c>
      <x:c r="G4" s="3" t="str">
        <x:v>GoldReviewer01 decision</x:v>
      </x:c>
      <x:c r="H4" s="3" t="s">
        <x:v>271</x:v>
      </x:c>
      <x:c r="I4" s="3" t="s">
        <x:v>272</x:v>
      </x:c>
      <x:c r="J4" s="3" t="s">
        <x:v>273</x:v>
      </x:c>
      <x:c r="K4" s="3" t="s">
        <x:v>274</x:v>
      </x:c>
    </x:row>
    <x:row r="5" ht="15" hidden="0">
      <x:c r="A5" s="4" t="s">
        <x:v>275</x:v>
      </x:c>
      <x:c r="B5" s="4" t="s">
        <x:v>276</x:v>
      </x:c>
      <x:c r="C5" s="4" t="s">
        <x:v>40</x:v>
      </x:c>
      <x:c r="D5" s="4" t="s">
        <x:v>42</x:v>
      </x:c>
      <x:c r="E5" s="4" t="s">
        <x:v>44</x:v>
      </x:c>
      <x:c r="F5" s="4"/>
      <x:c r="G5" s="5" t="str">
        <x:v>Confirm</x:v>
      </x:c>
      <x:c r="H5" s="5"/>
      <x:c r="I5" s="5" t="str">
        <x:v>A-M02 provides the remote coordinator role, home location and weekly hybrid planning context.</x:v>
      </x:c>
      <x:c r="J5" s="5" t="str">
        <x:v>A / 2026-08-11</x:v>
      </x:c>
      <x:c r="K5" s="6" t="str">
        <x:f aca="0">IF(AND(G5&lt;&gt;"",I5&lt;&gt;"",J5&lt;&gt;"",OR(G5="Confirm",H5&lt;&gt;"")),"PASS","INCOMPLETE")</x:f>
        <x:v>PASS</x:v>
      </x:c>
    </x:row>
    <x:row r="6" ht="23.850000381469727" hidden="0">
      <x:c r="A6" s="4" t="s">
        <x:v>275</x:v>
      </x:c>
      <x:c r="B6" s="4" t="s">
        <x:v>277</x:v>
      </x:c>
      <x:c r="C6" s="4" t="s">
        <x:v>45</x:v>
      </x:c>
      <x:c r="D6" s="4" t="s">
        <x:v>47</x:v>
      </x:c>
      <x:c r="E6" s="4" t="s">
        <x:v>44</x:v>
      </x:c>
      <x:c r="F6" s="4"/>
      <x:c r="G6" s="5" t="str">
        <x:v>Confirm</x:v>
      </x:c>
      <x:c r="H6" s="5"/>
      <x:c r="I6" s="5" t="str">
        <x:v>A-M04 records the participation barrier and A-M06 states its effect on following and contributing.</x:v>
      </x:c>
      <x:c r="J6" s="5" t="str">
        <x:v>A / 2026-08-11</x:v>
      </x:c>
      <x:c r="K6" s="6" t="str">
        <x:f aca="0">IF(AND(G6&lt;&gt;"",I6&lt;&gt;"",J6&lt;&gt;"",OR(G6="Confirm",H6&lt;&gt;"")),"PASS","INCOMPLETE")</x:f>
        <x:v>PASS</x:v>
      </x:c>
    </x:row>
    <x:row r="7" ht="23.850000381469727" hidden="0">
      <x:c r="A7" s="4" t="s">
        <x:v>275</x:v>
      </x:c>
      <x:c r="B7" s="4" t="s">
        <x:v>278</x:v>
      </x:c>
      <x:c r="C7" s="4" t="s">
        <x:v>48</x:v>
      </x:c>
      <x:c r="D7" s="4" t="s">
        <x:v>50</x:v>
      </x:c>
      <x:c r="E7" s="4" t="s">
        <x:v>44</x:v>
      </x:c>
      <x:c r="F7" s="4"/>
      <x:c r="G7" s="5" t="str">
        <x:v>Confirm</x:v>
      </x:c>
      <x:c r="H7" s="5"/>
      <x:c r="I7" s="5" t="str">
        <x:v>A-M08 identifies the frozen-slide breakdown; A-M10 records the chat and phone-audio workaround.</x:v>
      </x:c>
      <x:c r="J7" s="5" t="str">
        <x:v>A / 2026-08-11</x:v>
      </x:c>
      <x:c r="K7" s="6" t="str">
        <x:f aca="0">IF(AND(G7&lt;&gt;"",I7&lt;&gt;"",J7&lt;&gt;"",OR(G7="Confirm",H7&lt;&gt;"")),"PASS","INCOMPLETE")</x:f>
        <x:v>PASS</x:v>
      </x:c>
    </x:row>
    <x:row r="8" ht="23.850000381469727" hidden="0">
      <x:c r="A8" s="4" t="s">
        <x:v>275</x:v>
      </x:c>
      <x:c r="B8" s="4" t="s">
        <x:v>279</x:v>
      </x:c>
      <x:c r="C8" s="4" t="s">
        <x:v>51</x:v>
      </x:c>
      <x:c r="D8" s="4" t="s">
        <x:v>53</x:v>
      </x:c>
      <x:c r="E8" s="4" t="s">
        <x:v>54</x:v>
      </x:c>
      <x:c r="F8" s="4" t="s">
        <x:v>55</x:v>
      </x:c>
      <x:c r="G8" s="5" t="str">
        <x:v>Confirm</x:v>
      </x:c>
      <x:c r="H8" s="5"/>
      <x:c r="I8" s="5" t="str">
        <x:v>A-M12 gives the proposed turn-taking change, while A-M14 explicitly leaves its expected benefit unestablished.</x:v>
      </x:c>
      <x:c r="J8" s="5" t="str">
        <x:v>A / 2026-08-11</x:v>
      </x:c>
      <x:c r="K8" s="6" t="str">
        <x:f aca="0">IF(AND(G8&lt;&gt;"",I8&lt;&gt;"",J8&lt;&gt;"",OR(G8="Confirm",H8&lt;&gt;"")),"PASS","INCOMPLETE")</x:f>
        <x:v>PASS</x:v>
      </x:c>
    </x:row>
    <x:row r="9" ht="15" hidden="0">
      <x:c r="A9" s="4" t="s">
        <x:v>280</x:v>
      </x:c>
      <x:c r="B9" s="4" t="s">
        <x:v>276</x:v>
      </x:c>
      <x:c r="C9" s="4" t="s">
        <x:v>40</x:v>
      </x:c>
      <x:c r="D9" s="4" t="s">
        <x:v>42</x:v>
      </x:c>
      <x:c r="E9" s="4" t="s">
        <x:v>44</x:v>
      </x:c>
      <x:c r="F9" s="4"/>
      <x:c r="G9" s="5" t="str">
        <x:v>Confirm</x:v>
      </x:c>
      <x:c r="H9" s="5"/>
      <x:c r="I9" s="5" t="str">
        <x:v>B-M02 provides the in-room note-taker role, monthly design-review purpose and hybrid format.</x:v>
      </x:c>
      <x:c r="J9" s="5" t="str">
        <x:v>A / 2026-08-11</x:v>
      </x:c>
      <x:c r="K9" s="6" t="str">
        <x:f aca="0">IF(AND(G9&lt;&gt;"",I9&lt;&gt;"",J9&lt;&gt;"",OR(G9="Confirm",H9&lt;&gt;"")),"PASS","INCOMPLETE")</x:f>
        <x:v>PASS</x:v>
      </x:c>
    </x:row>
    <x:row r="10" ht="23.850000381469727" hidden="0">
      <x:c r="A10" s="4" t="s">
        <x:v>280</x:v>
      </x:c>
      <x:c r="B10" s="4" t="s">
        <x:v>277</x:v>
      </x:c>
      <x:c r="C10" s="4" t="s">
        <x:v>45</x:v>
      </x:c>
      <x:c r="D10" s="4" t="s">
        <x:v>47</x:v>
      </x:c>
      <x:c r="E10" s="4" t="s">
        <x:v>44</x:v>
      </x:c>
      <x:c r="F10" s="4"/>
      <x:c r="G10" s="5" t="str">
        <x:v>Confirm</x:v>
      </x:c>
      <x:c r="H10" s="5"/>
      <x:c r="I10" s="5" t="str">
        <x:v>B-M04 identifies the missing remote video and B-M06 explains the resulting missed speaking cues and interruptions.</x:v>
      </x:c>
      <x:c r="J10" s="5" t="str">
        <x:v>A / 2026-08-11</x:v>
      </x:c>
      <x:c r="K10" s="6" t="str">
        <x:f aca="0">IF(AND(G10&lt;&gt;"",I10&lt;&gt;"",J10&lt;&gt;"",OR(G10="Confirm",H10&lt;&gt;"")),"PASS","INCOMPLETE")</x:f>
        <x:v>PASS</x:v>
      </x:c>
    </x:row>
    <x:row r="11" ht="23.850000381469727" hidden="0">
      <x:c r="A11" s="4" t="s">
        <x:v>280</x:v>
      </x:c>
      <x:c r="B11" s="4" t="s">
        <x:v>278</x:v>
      </x:c>
      <x:c r="C11" s="4" t="s">
        <x:v>48</x:v>
      </x:c>
      <x:c r="D11" s="4" t="s">
        <x:v>50</x:v>
      </x:c>
      <x:c r="E11" s="4" t="s">
        <x:v>44</x:v>
      </x:c>
      <x:c r="F11" s="4"/>
      <x:c r="G11" s="5" t="str">
        <x:v>Confirm</x:v>
      </x:c>
      <x:c r="H11" s="5"/>
      <x:c r="I11" s="5" t="str">
        <x:v>B-M08 records the muted-chat breakdown and B-M10 describes the participant's response and delayed answer.</x:v>
      </x:c>
      <x:c r="J11" s="5" t="str">
        <x:v>A / 2026-08-11</x:v>
      </x:c>
      <x:c r="K11" s="6" t="str">
        <x:f aca="0">IF(AND(G11&lt;&gt;"",I11&lt;&gt;"",J11&lt;&gt;"",OR(G11="Confirm",H11&lt;&gt;"")),"PASS","INCOMPLETE")</x:f>
        <x:v>PASS</x:v>
      </x:c>
    </x:row>
    <x:row r="12" ht="23.850000381469727" hidden="0">
      <x:c r="A12" s="4" t="s">
        <x:v>280</x:v>
      </x:c>
      <x:c r="B12" s="4" t="s">
        <x:v>279</x:v>
      </x:c>
      <x:c r="C12" s="4" t="s">
        <x:v>51</x:v>
      </x:c>
      <x:c r="D12" s="4" t="s">
        <x:v>53</x:v>
      </x:c>
      <x:c r="E12" s="4" t="s">
        <x:v>54</x:v>
      </x:c>
      <x:c r="F12" s="4" t="s">
        <x:v>55</x:v>
      </x:c>
      <x:c r="G12" s="5" t="str">
        <x:v>Confirm</x:v>
      </x:c>
      <x:c r="H12" s="5"/>
      <x:c r="I12" s="5" t="str">
        <x:v>B-M12 proposes a second screen, but B-M14 explicitly says its effect on participation is not yet known.</x:v>
      </x:c>
      <x:c r="J12" s="5" t="str">
        <x:v>A / 2026-08-11</x:v>
      </x:c>
      <x:c r="K12" s="6" t="str">
        <x:f aca="0">IF(AND(G12&lt;&gt;"",I12&lt;&gt;"",J12&lt;&gt;"",OR(G12="Confirm",H12&lt;&gt;"")),"PASS","INCOMPLETE")</x:f>
        <x:v>PASS</x:v>
      </x:c>
    </x:row>
    <x:row r="13" ht="23.850000381469727" hidden="0">
      <x:c r="A13" s="4" t="s">
        <x:v>281</x:v>
      </x:c>
      <x:c r="B13" s="4" t="s">
        <x:v>282</x:v>
      </x:c>
      <x:c r="C13" s="4" t="s">
        <x:v>154</x:v>
      </x:c>
      <x:c r="D13" s="4" t="s">
        <x:v>156</x:v>
      </x:c>
      <x:c r="E13" s="4" t="s">
        <x:v>44</x:v>
      </x:c>
      <x:c r="F13" s="4"/>
      <x:c r="G13" s="5" t="str">
        <x:v>Confirm</x:v>
      </x:c>
      <x:c r="H13" s="5"/>
      <x:c r="I13" s="5" t="str">
        <x:v>A-M02 supplies the bus journey, evening-course purpose, road-closure diversion and longer journey.</x:v>
      </x:c>
      <x:c r="J13" s="5" t="str">
        <x:v>A / 2026-08-11</x:v>
      </x:c>
      <x:c r="K13" s="6" t="str">
        <x:f aca="0">IF(AND(G13&lt;&gt;"",I13&lt;&gt;"",J13&lt;&gt;"",OR(G13="Confirm",H13&lt;&gt;"")),"PASS","INCOMPLETE")</x:f>
        <x:v>PASS</x:v>
      </x:c>
    </x:row>
    <x:row r="14" ht="15" hidden="0">
      <x:c r="A14" s="4" t="s">
        <x:v>281</x:v>
      </x:c>
      <x:c r="B14" s="4" t="s">
        <x:v>283</x:v>
      </x:c>
      <x:c r="C14" s="4" t="s">
        <x:v>157</x:v>
      </x:c>
      <x:c r="D14" s="4" t="s">
        <x:v>159</x:v>
      </x:c>
      <x:c r="E14" s="4" t="s">
        <x:v>44</x:v>
      </x:c>
      <x:c r="F14" s="4"/>
      <x:c r="G14" s="5" t="str">
        <x:v>Confirm</x:v>
      </x:c>
      <x:c r="H14" s="5"/>
      <x:c r="I14" s="5" t="str">
        <x:v>A-M04 and A-M06 identify the information sources and establish the order in which they were checked.</x:v>
      </x:c>
      <x:c r="J14" s="5" t="str">
        <x:v>A / 2026-08-11</x:v>
      </x:c>
      <x:c r="K14" s="6" t="str">
        <x:f aca="0">IF(AND(G14&lt;&gt;"",I14&lt;&gt;"",J14&lt;&gt;"",OR(G14="Confirm",H14&lt;&gt;"")),"PASS","INCOMPLETE")</x:f>
        <x:v>PASS</x:v>
      </x:c>
    </x:row>
    <x:row r="15" ht="23.850000381469727" hidden="0">
      <x:c r="A15" s="4" t="s">
        <x:v>281</x:v>
      </x:c>
      <x:c r="B15" s="4" t="s">
        <x:v>284</x:v>
      </x:c>
      <x:c r="C15" s="4" t="s">
        <x:v>160</x:v>
      </x:c>
      <x:c r="D15" s="4" t="s">
        <x:v>162</x:v>
      </x:c>
      <x:c r="E15" s="4" t="s">
        <x:v>44</x:v>
      </x:c>
      <x:c r="F15" s="4"/>
      <x:c r="G15" s="5" t="str">
        <x:v>Confirm</x:v>
      </x:c>
      <x:c r="H15" s="5"/>
      <x:c r="I15" s="5" t="str">
        <x:v>A-M08 records the route decision and A-M10 gives the walking response and late-arrival outcome.</x:v>
      </x:c>
      <x:c r="J15" s="5" t="str">
        <x:v>A / 2026-08-11</x:v>
      </x:c>
      <x:c r="K15" s="6" t="str">
        <x:f aca="0">IF(AND(G15&lt;&gt;"",I15&lt;&gt;"",J15&lt;&gt;"",OR(G15="Confirm",H15&lt;&gt;"")),"PASS","INCOMPLETE")</x:f>
        <x:v>PASS</x:v>
      </x:c>
    </x:row>
    <x:row r="16" ht="35.04999923706055" hidden="0">
      <x:c r="A16" s="4" t="s">
        <x:v>281</x:v>
      </x:c>
      <x:c r="B16" s="4" t="s">
        <x:v>285</x:v>
      </x:c>
      <x:c r="C16" s="4" t="s">
        <x:v>163</x:v>
      </x:c>
      <x:c r="D16" s="4" t="s">
        <x:v>165</x:v>
      </x:c>
      <x:c r="E16" s="4" t="s">
        <x:v>54</x:v>
      </x:c>
      <x:c r="F16" s="4" t="s">
        <x:v>166</x:v>
      </x:c>
      <x:c r="G16" s="5" t="str">
        <x:v>Confirm</x:v>
      </x:c>
      <x:c r="H16" s="5"/>
      <x:c r="I16" s="5" t="str">
        <x:v>A-M12 identifies the preferred consistency change; A-M14 leaves its effect on the journey unestablished.</x:v>
      </x:c>
      <x:c r="J16" s="5" t="str">
        <x:v>A / 2026-08-11</x:v>
      </x:c>
      <x:c r="K16" s="6" t="str">
        <x:f aca="0">IF(AND(G16&lt;&gt;"",I16&lt;&gt;"",J16&lt;&gt;"",OR(G16="Confirm",H16&lt;&gt;"")),"PASS","INCOMPLETE")</x:f>
        <x:v>PASS</x:v>
      </x:c>
    </x:row>
    <x:row r="17" ht="23.850000381469727" hidden="0">
      <x:c r="A17" s="4" t="s">
        <x:v>286</x:v>
      </x:c>
      <x:c r="B17" s="4" t="s">
        <x:v>282</x:v>
      </x:c>
      <x:c r="C17" s="4" t="s">
        <x:v>154</x:v>
      </x:c>
      <x:c r="D17" s="4" t="s">
        <x:v>156</x:v>
      </x:c>
      <x:c r="E17" s="4" t="s">
        <x:v>44</x:v>
      </x:c>
      <x:c r="F17" s="4"/>
      <x:c r="G17" s="5" t="str">
        <x:v>Confirm</x:v>
      </x:c>
      <x:c r="H17" s="5"/>
      <x:c r="I17" s="5" t="str">
        <x:v>B-M02 supplies the regional-train journey, volunteer-shift purpose, cancellation and replacement-bus context.</x:v>
      </x:c>
      <x:c r="J17" s="5" t="str">
        <x:v>A / 2026-08-11</x:v>
      </x:c>
      <x:c r="K17" s="6" t="str">
        <x:f aca="0">IF(AND(G17&lt;&gt;"",I17&lt;&gt;"",J17&lt;&gt;"",OR(G17="Confirm",H17&lt;&gt;"")),"PASS","INCOMPLETE")</x:f>
        <x:v>PASS</x:v>
      </x:c>
    </x:row>
    <x:row r="18" ht="15" hidden="0">
      <x:c r="A18" s="4" t="s">
        <x:v>286</x:v>
      </x:c>
      <x:c r="B18" s="4" t="s">
        <x:v>283</x:v>
      </x:c>
      <x:c r="C18" s="4" t="s">
        <x:v>157</x:v>
      </x:c>
      <x:c r="D18" s="4" t="s">
        <x:v>159</x:v>
      </x:c>
      <x:c r="E18" s="4" t="s">
        <x:v>44</x:v>
      </x:c>
      <x:c r="F18" s="4"/>
      <x:c r="G18" s="5" t="str">
        <x:v>Confirm</x:v>
      </x:c>
      <x:c r="H18" s="5"/>
      <x:c r="I18" s="5" t="str">
        <x:v>B-M04 and B-M06 identify each information source and establish the checking sequence and inconsistency.</x:v>
      </x:c>
      <x:c r="J18" s="5" t="str">
        <x:v>A / 2026-08-11</x:v>
      </x:c>
      <x:c r="K18" s="6" t="str">
        <x:f aca="0">IF(AND(G18&lt;&gt;"",I18&lt;&gt;"",J18&lt;&gt;"",OR(G18="Confirm",H18&lt;&gt;"")),"PASS","INCOMPLETE")</x:f>
        <x:v>PASS</x:v>
      </x:c>
    </x:row>
    <x:row r="19" ht="23.850000381469727" hidden="0">
      <x:c r="A19" s="4" t="s">
        <x:v>286</x:v>
      </x:c>
      <x:c r="B19" s="4" t="s">
        <x:v>284</x:v>
      </x:c>
      <x:c r="C19" s="4" t="s">
        <x:v>160</x:v>
      </x:c>
      <x:c r="D19" s="4" t="s">
        <x:v>162</x:v>
      </x:c>
      <x:c r="E19" s="4" t="s">
        <x:v>44</x:v>
      </x:c>
      <x:c r="F19" s="4"/>
      <x:c r="G19" s="5" t="str">
        <x:v>Confirm</x:v>
      </x:c>
      <x:c r="H19" s="5"/>
      <x:c r="I19" s="5" t="str">
        <x:v>B-M08 records the decision to wait at the entrance and B-M10 gives the replacement-bus and late-arrival outcome.</x:v>
      </x:c>
      <x:c r="J19" s="5" t="str">
        <x:v>A / 2026-08-11</x:v>
      </x:c>
      <x:c r="K19" s="6" t="str">
        <x:f aca="0">IF(AND(G19&lt;&gt;"",I19&lt;&gt;"",J19&lt;&gt;"",OR(G19="Confirm",H19&lt;&gt;"")),"PASS","INCOMPLETE")</x:f>
        <x:v>PASS</x:v>
      </x:c>
    </x:row>
    <x:row r="20" ht="35.04999923706055" hidden="0">
      <x:c r="A20" s="4" t="s">
        <x:v>286</x:v>
      </x:c>
      <x:c r="B20" s="4" t="s">
        <x:v>285</x:v>
      </x:c>
      <x:c r="C20" s="4" t="s">
        <x:v>163</x:v>
      </x:c>
      <x:c r="D20" s="4" t="s">
        <x:v>165</x:v>
      </x:c>
      <x:c r="E20" s="4" t="s">
        <x:v>54</x:v>
      </x:c>
      <x:c r="F20" s="4" t="s">
        <x:v>166</x:v>
      </x:c>
      <x:c r="G20" s="5" t="str">
        <x:v>Confirm</x:v>
      </x:c>
      <x:c r="H20" s="5"/>
      <x:c r="I20" s="5" t="str">
        <x:v>B-M12 states the missing planner information and preferred change; B-M14 leaves the effect on arrival unknown.</x:v>
      </x:c>
      <x:c r="J20" s="5" t="str">
        <x:v>A / 2026-08-11</x:v>
      </x:c>
      <x:c r="K20" s="6" t="str">
        <x:f aca="0">IF(AND(G20&lt;&gt;"",I20&lt;&gt;"",J20&lt;&gt;"",OR(G20="Confirm",H20&lt;&gt;"")),"PASS","INCOMPLETE")</x:f>
        <x:v>PASS</x:v>
      </x:c>
    </x:row>
    <x:row r="21" ht="15" hidden="0">
      <x:c r="A21" s="4" t="s">
        <x:v>287</x:v>
      </x:c>
      <x:c r="B21" s="4" t="s">
        <x:v>288</x:v>
      </x:c>
      <x:c r="C21" s="4" t="s">
        <x:v>211</x:v>
      </x:c>
      <x:c r="D21" s="4" t="s">
        <x:v>213</x:v>
      </x:c>
      <x:c r="E21" s="4" t="s">
        <x:v>44</x:v>
      </x:c>
      <x:c r="F21" s="4"/>
      <x:c r="G21" s="5" t="str">
        <x:v>Confirm</x:v>
      </x:c>
      <x:c r="H21" s="5"/>
      <x:c r="I21" s="5" t="str">
        <x:v>A-M02 provides the café setting, workshop context and both reasons for accepting the reusable cup.</x:v>
      </x:c>
      <x:c r="J21" s="5" t="str">
        <x:v>A / 2026-08-11</x:v>
      </x:c>
      <x:c r="K21" s="6" t="str">
        <x:f aca="0">IF(AND(G21&lt;&gt;"",I21&lt;&gt;"",J21&lt;&gt;"",OR(G21="Confirm",H21&lt;&gt;"")),"PASS","INCOMPLETE")</x:f>
        <x:v>PASS</x:v>
      </x:c>
    </x:row>
    <x:row r="22" ht="15" hidden="0">
      <x:c r="A22" s="4" t="s">
        <x:v>287</x:v>
      </x:c>
      <x:c r="B22" s="4" t="s">
        <x:v>289</x:v>
      </x:c>
      <x:c r="C22" s="4" t="s">
        <x:v>214</x:v>
      </x:c>
      <x:c r="D22" s="4" t="s">
        <x:v>216</x:v>
      </x:c>
      <x:c r="E22" s="4" t="s">
        <x:v>44</x:v>
      </x:c>
      <x:c r="F22" s="4"/>
      <x:c r="G22" s="5" t="str">
        <x:v>Confirm</x:v>
      </x:c>
      <x:c r="H22" s="5"/>
      <x:c r="I22" s="5" t="str">
        <x:v>A-M04 gives the return steps and A-M06 records the pending first scan and successful second attempt.</x:v>
      </x:c>
      <x:c r="J22" s="5" t="str">
        <x:v>A / 2026-08-11</x:v>
      </x:c>
      <x:c r="K22" s="6" t="str">
        <x:f aca="0">IF(AND(G22&lt;&gt;"",I22&lt;&gt;"",J22&lt;&gt;"",OR(G22="Confirm",H22&lt;&gt;"")),"PASS","INCOMPLETE")</x:f>
        <x:v>PASS</x:v>
      </x:c>
    </x:row>
    <x:row r="23" ht="23.850000381469727" hidden="0">
      <x:c r="A23" s="4" t="s">
        <x:v>287</x:v>
      </x:c>
      <x:c r="B23" s="4" t="s">
        <x:v>290</x:v>
      </x:c>
      <x:c r="C23" s="4" t="s">
        <x:v>217</x:v>
      </x:c>
      <x:c r="D23" s="4" t="s">
        <x:v>219</x:v>
      </x:c>
      <x:c r="E23" s="4" t="s">
        <x:v>44</x:v>
      </x:c>
      <x:c r="F23" s="4"/>
      <x:c r="G23" s="5" t="str">
        <x:v>Confirm</x:v>
      </x:c>
      <x:c r="H23" s="5"/>
      <x:c r="I23" s="5" t="str">
        <x:v>A-M08 identifies the missing confirmation and A-M10 records the extra checking, waiting and confidence effect.</x:v>
      </x:c>
      <x:c r="J23" s="5" t="str">
        <x:v>A / 2026-08-11</x:v>
      </x:c>
      <x:c r="K23" s="6" t="str">
        <x:f aca="0">IF(AND(G23&lt;&gt;"",I23&lt;&gt;"",J23&lt;&gt;"",OR(G23="Confirm",H23&lt;&gt;"")),"PASS","INCOMPLETE")</x:f>
        <x:v>PASS</x:v>
      </x:c>
    </x:row>
    <x:row r="24" ht="15" hidden="0">
      <x:c r="A24" s="4" t="s">
        <x:v>287</x:v>
      </x:c>
      <x:c r="B24" s="4" t="s">
        <x:v>291</x:v>
      </x:c>
      <x:c r="C24" s="4" t="s">
        <x:v>220</x:v>
      </x:c>
      <x:c r="D24" s="4" t="s">
        <x:v>222</x:v>
      </x:c>
      <x:c r="E24" s="4" t="s">
        <x:v>54</x:v>
      </x:c>
      <x:c r="F24" s="4" t="s">
        <x:v>223</x:v>
      </x:c>
      <x:c r="G24" s="5" t="str">
        <x:v>Confirm</x:v>
      </x:c>
      <x:c r="H24" s="5"/>
      <x:c r="I24" s="5" t="str">
        <x:v>A-M12 proposes a named receipt, while A-M14 explicitly leaves its effect on future use unestablished.</x:v>
      </x:c>
      <x:c r="J24" s="5" t="str">
        <x:v>A / 2026-08-11</x:v>
      </x:c>
      <x:c r="K24" s="6" t="str">
        <x:f aca="0">IF(AND(G24&lt;&gt;"",I24&lt;&gt;"",J24&lt;&gt;"",OR(G24="Confirm",H24&lt;&gt;"")),"PASS","INCOMPLETE")</x:f>
        <x:v>PASS</x:v>
      </x:c>
    </x:row>
    <x:row r="25" ht="15" hidden="0">
      <x:c r="A25" s="4" t="s">
        <x:v>292</x:v>
      </x:c>
      <x:c r="B25" s="4" t="s">
        <x:v>288</x:v>
      </x:c>
      <x:c r="C25" s="4" t="s">
        <x:v>211</x:v>
      </x:c>
      <x:c r="D25" s="4" t="s">
        <x:v>213</x:v>
      </x:c>
      <x:c r="E25" s="4" t="s">
        <x:v>44</x:v>
      </x:c>
      <x:c r="F25" s="4"/>
      <x:c r="G25" s="5" t="str">
        <x:v>Confirm</x:v>
      </x:c>
      <x:c r="H25" s="5"/>
      <x:c r="I25" s="5" t="str">
        <x:v>B-M02 provides the office food-hall setting and both reasons for accepting the reusable bowl.</x:v>
      </x:c>
      <x:c r="J25" s="5" t="str">
        <x:v>A / 2026-08-11</x:v>
      </x:c>
      <x:c r="K25" s="6" t="str">
        <x:f aca="0">IF(AND(G25&lt;&gt;"",I25&lt;&gt;"",J25&lt;&gt;"",OR(G25="Confirm",H25&lt;&gt;"")),"PASS","INCOMPLETE")</x:f>
        <x:v>PASS</x:v>
      </x:c>
    </x:row>
    <x:row r="26" ht="15" hidden="0">
      <x:c r="A26" s="4" t="s">
        <x:v>292</x:v>
      </x:c>
      <x:c r="B26" s="4" t="s">
        <x:v>289</x:v>
      </x:c>
      <x:c r="C26" s="4" t="s">
        <x:v>214</x:v>
      </x:c>
      <x:c r="D26" s="4" t="s">
        <x:v>216</x:v>
      </x:c>
      <x:c r="E26" s="4" t="s">
        <x:v>44</x:v>
      </x:c>
      <x:c r="F26" s="4"/>
      <x:c r="G26" s="5" t="str">
        <x:v>Confirm</x:v>
      </x:c>
      <x:c r="H26" s="5"/>
      <x:c r="I26" s="5" t="str">
        <x:v>B-M04 gives the initial scan and B-M06 records the cabinet steps and first-attempt completion.</x:v>
      </x:c>
      <x:c r="J26" s="5" t="str">
        <x:v>A / 2026-08-11</x:v>
      </x:c>
      <x:c r="K26" s="6" t="str">
        <x:f aca="0">IF(AND(G26&lt;&gt;"",I26&lt;&gt;"",J26&lt;&gt;"",OR(G26="Confirm",H26&lt;&gt;"")),"PASS","INCOMPLETE")</x:f>
        <x:v>PASS</x:v>
      </x:c>
    </x:row>
    <x:row r="27" ht="23.850000381469727" hidden="0">
      <x:c r="A27" s="4" t="s">
        <x:v>292</x:v>
      </x:c>
      <x:c r="B27" s="4" t="s">
        <x:v>290</x:v>
      </x:c>
      <x:c r="C27" s="4" t="s">
        <x:v>217</x:v>
      </x:c>
      <x:c r="D27" s="4" t="s">
        <x:v>219</x:v>
      </x:c>
      <x:c r="E27" s="4" t="s">
        <x:v>44</x:v>
      </x:c>
      <x:c r="F27" s="4"/>
      <x:c r="G27" s="5" t="str">
        <x:v>Confirm</x:v>
      </x:c>
      <x:c r="H27" s="5"/>
      <x:c r="I27" s="5" t="str">
        <x:v>B-M08 identifies the obscured labels and B-M10 records the icon comparison, added time and completed return.</x:v>
      </x:c>
      <x:c r="J27" s="5" t="str">
        <x:v>A / 2026-08-11</x:v>
      </x:c>
      <x:c r="K27" s="6" t="str">
        <x:f aca="0">IF(AND(G27&lt;&gt;"",I27&lt;&gt;"",J27&lt;&gt;"",OR(G27="Confirm",H27&lt;&gt;"")),"PASS","INCOMPLETE")</x:f>
        <x:v>PASS</x:v>
      </x:c>
    </x:row>
    <x:row r="28" ht="15" hidden="0">
      <x:c r="A28" s="4" t="s">
        <x:v>292</x:v>
      </x:c>
      <x:c r="B28" s="4" t="s">
        <x:v>291</x:v>
      </x:c>
      <x:c r="C28" s="4" t="s">
        <x:v>220</x:v>
      </x:c>
      <x:c r="D28" s="4" t="s">
        <x:v>222</x:v>
      </x:c>
      <x:c r="E28" s="4" t="s">
        <x:v>54</x:v>
      </x:c>
      <x:c r="F28" s="4" t="s">
        <x:v>223</x:v>
      </x:c>
      <x:c r="G28" s="5" t="str">
        <x:v>Confirm</x:v>
      </x:c>
      <x:c r="H28" s="5"/>
      <x:c r="I28" s="5" t="str">
        <x:v>B-M12 proposes larger matching labels, but B-M14 explicitly leaves their effect on future use unestablished.</x:v>
      </x:c>
      <x:c r="J28" s="5" t="str">
        <x:v>A / 2026-08-11</x:v>
      </x:c>
      <x:c r="K28" s="6" t="str">
        <x:f aca="0">IF(AND(G28&lt;&gt;"",I28&lt;&gt;"",J28&lt;&gt;"",OR(G28="Confirm",H28&lt;&gt;"")),"PASS","INCOMPLETE")</x:f>
        <x:v>PASS</x:v>
      </x:c>
    </x:row>
  </x:sheetData>
  <x:mergeCells>
    <x:mergeCell ref="A1:K1"/>
    <x:mergeCell ref="A2:K2"/>
  </x:mergeCells>
  <x:dataValidations count="1">
    <x:dataValidation type="list" errorStyle="stop" operator="between" allowBlank="0" showDropDown="0" showInputMessage="0" showErrorMessage="0" sqref="G5:G28">
      <x:formula1>"Confirm,Amend"</x:formula1>
      <x:formula2>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4" hidden="0" customWidth="1"/>
    <x:col min="2" max="2" width="17" hidden="0" customWidth="1"/>
    <x:col min="3" max="3" width="25" hidden="0" customWidth="1"/>
    <x:col min="4" max="4" width="64" hidden="0" customWidth="1"/>
    <x:col min="5" max="5" width="25" hidden="0" customWidth="1"/>
    <x:col min="6" max="7" width="24" hidden="0" customWidth="1"/>
    <x:col min="8" max="8" width="26" hidden="0" customWidth="1"/>
    <x:col min="9" max="9" width="34" hidden="0" customWidth="1"/>
    <x:col min="10" max="10" width="64" hidden="0" customWidth="1"/>
    <x:col min="11" max="11" width="58" hidden="0" customWidth="1"/>
    <x:col min="12" max="12" width="64" hidden="0" customWidth="1"/>
    <x:col min="13" max="13" width="58" hidden="0" customWidth="1"/>
    <x:col min="14" max="14" width="18" hidden="0" customWidth="1"/>
    <x:col min="15" max="15" width="56" hidden="0" customWidth="1"/>
    <x:col min="16" max="16" width="50" hidden="0" customWidth="1"/>
    <x:col min="17" max="17" width="22" hidden="0" customWidth="1"/>
    <x:col min="18" max="18" width="15" hidden="0" customWidth="1"/>
  </x:cols>
  <x:sheetData>
    <x:row r="1" ht="30" hidden="0" customHeight="1">
      <x:c r="A1" s="1" t="s">
        <x:v>293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32" hidden="0" customHeight="1">
      <x:c r="A2" s="2" t="s">
        <x:v>294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4" ht="15" hidden="0">
      <x:c r="A4" s="3" t="s">
        <x:v>267</x:v>
      </x:c>
      <x:c r="B4" s="3" t="s">
        <x:v>85</x:v>
      </x:c>
      <x:c r="C4" s="3" t="s">
        <x:v>33</x:v>
      </x:c>
      <x:c r="D4" s="3" t="s">
        <x:v>86</x:v>
      </x:c>
      <x:c r="E4" s="3" t="s">
        <x:v>87</x:v>
      </x:c>
      <x:c r="F4" s="3" t="s">
        <x:v>88</x:v>
      </x:c>
      <x:c r="G4" s="3" t="s">
        <x:v>295</x:v>
      </x:c>
      <x:c r="H4" s="3" t="s">
        <x:v>296</x:v>
      </x:c>
      <x:c r="I4" s="3" t="s">
        <x:v>297</x:v>
      </x:c>
      <x:c r="J4" s="3" t="s">
        <x:v>298</x:v>
      </x:c>
      <x:c r="K4" s="3" t="s">
        <x:v>299</x:v>
      </x:c>
      <x:c r="L4" s="3" t="s">
        <x:v>300</x:v>
      </x:c>
      <x:c r="M4" s="3" t="s">
        <x:v>301</x:v>
      </x:c>
      <x:c r="N4" s="3" t="str">
        <x:v>GoldReviewer01 decision</x:v>
      </x:c>
      <x:c r="O4" s="3" t="s">
        <x:v>271</x:v>
      </x:c>
      <x:c r="P4" s="3" t="s">
        <x:v>272</x:v>
      </x:c>
      <x:c r="Q4" s="3" t="s">
        <x:v>273</x:v>
      </x:c>
      <x:c r="R4" s="3" t="s">
        <x:v>274</x:v>
      </x:c>
    </x:row>
    <x:row r="5" ht="23.850000381469727" hidden="0">
      <x:c r="A5" s="4" t="s">
        <x:v>275</x:v>
      </x:c>
      <x:c r="B5" s="4" t="s">
        <x:v>90</x:v>
      </x:c>
      <x:c r="C5" s="4" t="s">
        <x:v>276</x:v>
      </x:c>
      <x:c r="D5" s="4" t="s">
        <x:v>91</x:v>
      </x:c>
      <x:c r="E5" s="4" t="s">
        <x:v>61</x:v>
      </x:c>
      <x:c r="F5" s="4" t="s">
        <x:v>92</x:v>
      </x:c>
      <x:c r="G5" s="4" t="s">
        <x:v>61</x:v>
      </x:c>
      <x:c r="H5" s="4" t="s">
        <x:v>93</x:v>
      </x:c>
      <x:c r="I5" s="4" t="s">
        <x:v>302</x:v>
      </x:c>
      <x:c r="J5" s="4" t="s">
        <x:v>303</x:v>
      </x:c>
      <x:c r="K5" s="4" t="s">
        <x:v>304</x:v>
      </x:c>
      <x:c r="L5" s="4" t="s">
        <x:v>305</x:v>
      </x:c>
      <x:c r="M5" s="4" t="s">
        <x:v>306</x:v>
      </x:c>
      <x:c r="N5" s="5" t="str">
        <x:v>Confirm</x:v>
      </x:c>
      <x:c r="O5" s="5"/>
      <x:c r="P5" s="5" t="str">
        <x:v>A-M02 directly supports the remote role, coordinator role and weekly hybrid planning context; the Include rule is appropriate.</x:v>
      </x:c>
      <x:c r="Q5" s="5" t="str">
        <x:v>A / 2026-08-11</x:v>
      </x:c>
      <x:c r="R5" s="6" t="str">
        <x:f aca="0">IF(AND(N5&lt;&gt;"",P5&lt;&gt;"",Q5&lt;&gt;"",OR(N5="Confirm",O5&lt;&gt;"")),"PASS","INCOMPLETE")</x:f>
        <x:v>PASS</x:v>
      </x:c>
    </x:row>
    <x:row r="6" ht="35.04999923706055" hidden="0">
      <x:c r="A6" s="4" t="s">
        <x:v>275</x:v>
      </x:c>
      <x:c r="B6" s="4" t="s">
        <x:v>94</x:v>
      </x:c>
      <x:c r="C6" s="4" t="s">
        <x:v>277</x:v>
      </x:c>
      <x:c r="D6" s="4" t="s">
        <x:v>95</x:v>
      </x:c>
      <x:c r="E6" s="4" t="s">
        <x:v>96</x:v>
      </x:c>
      <x:c r="F6" s="4" t="s">
        <x:v>92</x:v>
      </x:c>
      <x:c r="G6" s="4" t="s">
        <x:v>96</x:v>
      </x:c>
      <x:c r="H6" s="4" t="s">
        <x:v>93</x:v>
      </x:c>
      <x:c r="I6" s="4" t="s">
        <x:v>302</x:v>
      </x:c>
      <x:c r="J6" s="4" t="s">
        <x:v>303</x:v>
      </x:c>
      <x:c r="K6" s="4" t="s">
        <x:v>307</x:v>
      </x:c>
      <x:c r="L6" s="4" t="s">
        <x:v>308</x:v>
      </x:c>
      <x:c r="M6" s="4" t="s">
        <x:v>309</x:v>
      </x:c>
      <x:c r="N6" s="5" t="str">
        <x:v>Confirm</x:v>
      </x:c>
      <x:c r="O6" s="5"/>
      <x:c r="P6" s="5" t="str">
        <x:v>A-M04 supports the room-side behaviour and A-M06 supports its effect; the cumulative source and Include rule are correct.</x:v>
      </x:c>
      <x:c r="Q6" s="5" t="str">
        <x:v>A / 2026-08-11</x:v>
      </x:c>
      <x:c r="R6" s="6" t="str">
        <x:f aca="0">IF(AND(N6&lt;&gt;"",P6&lt;&gt;"",Q6&lt;&gt;"",OR(N6="Confirm",O6&lt;&gt;"")),"PASS","INCOMPLETE")</x:f>
        <x:v>PASS</x:v>
      </x:c>
    </x:row>
    <x:row r="7" ht="35.04999923706055" hidden="0">
      <x:c r="A7" s="4" t="s">
        <x:v>275</x:v>
      </x:c>
      <x:c r="B7" s="4" t="s">
        <x:v>97</x:v>
      </x:c>
      <x:c r="C7" s="4" t="s">
        <x:v>278</x:v>
      </x:c>
      <x:c r="D7" s="4" t="s">
        <x:v>98</x:v>
      </x:c>
      <x:c r="E7" s="4" t="s">
        <x:v>99</x:v>
      </x:c>
      <x:c r="F7" s="4" t="s">
        <x:v>100</x:v>
      </x:c>
      <x:c r="G7" s="4" t="s">
        <x:v>99</x:v>
      </x:c>
      <x:c r="H7" s="4" t="s">
        <x:v>101</x:v>
      </x:c>
      <x:c r="I7" s="4" t="s">
        <x:v>310</x:v>
      </x:c>
      <x:c r="J7" s="4" t="s">
        <x:v>311</x:v>
      </x:c>
      <x:c r="K7" s="4" t="s">
        <x:v>312</x:v>
      </x:c>
      <x:c r="L7" s="4" t="s">
        <x:v>313</x:v>
      </x:c>
      <x:c r="M7" s="4" t="s">
        <x:v>314</x:v>
      </x:c>
      <x:c r="N7" s="5" t="str">
        <x:v>Confirm</x:v>
      </x:c>
      <x:c r="O7" s="5"/>
      <x:c r="P7" s="5" t="str">
        <x:v>A-M08/A-M10 support the freeze and phone-audio workaround but not restored visual access; partial support and the proposed edit are correct.</x:v>
      </x:c>
      <x:c r="Q7" s="5" t="str">
        <x:v>A / 2026-08-11</x:v>
      </x:c>
      <x:c r="R7" s="6" t="str">
        <x:f aca="0">IF(AND(N7&lt;&gt;"",P7&lt;&gt;"",Q7&lt;&gt;"",OR(N7="Confirm",O7&lt;&gt;"")),"PASS","INCOMPLETE")</x:f>
        <x:v>PASS</x:v>
      </x:c>
    </x:row>
    <x:row r="8" ht="23.850000381469727" hidden="0">
      <x:c r="A8" s="4" t="s">
        <x:v>275</x:v>
      </x:c>
      <x:c r="B8" s="4" t="s">
        <x:v>102</x:v>
      </x:c>
      <x:c r="C8" s="4" t="s">
        <x:v>278</x:v>
      </x:c>
      <x:c r="D8" s="4" t="s">
        <x:v>103</x:v>
      </x:c>
      <x:c r="E8" s="4" t="s">
        <x:v>72</x:v>
      </x:c>
      <x:c r="F8" s="4" t="s">
        <x:v>104</x:v>
      </x:c>
      <x:c r="G8" s="4"/>
      <x:c r="H8" s="4" t="s">
        <x:v>105</x:v>
      </x:c>
      <x:c r="I8" s="4" t="s">
        <x:v>315</x:v>
      </x:c>
      <x:c r="J8" s="4" t="s">
        <x:v>316</x:v>
      </x:c>
      <x:c r="K8" s="4" t="s">
        <x:v>317</x:v>
      </x:c>
      <x:c r="L8" s="4" t="s">
        <x:v>318</x:v>
      </x:c>
      <x:c r="M8" s="4" t="s">
        <x:v>319</x:v>
      </x:c>
      <x:c r="N8" s="5" t="str">
        <x:v>Confirm</x:v>
      </x:c>
      <x:c r="O8" s="5"/>
      <x:c r="P8" s="5" t="str">
        <x:v>No participant response reports a facilitator pause or restored access, so exclusion and the unsupported-evidence rule are appropriate.</x:v>
      </x:c>
      <x:c r="Q8" s="5" t="str">
        <x:v>A / 2026-08-11</x:v>
      </x:c>
      <x:c r="R8" s="6" t="str">
        <x:f aca="0">IF(AND(N8&lt;&gt;"",P8&lt;&gt;"",Q8&lt;&gt;"",OR(N8="Confirm",O8&lt;&gt;"")),"PASS","INCOMPLETE")</x:f>
        <x:v>PASS</x:v>
      </x:c>
    </x:row>
    <x:row r="9" ht="23.850000381469727" hidden="0">
      <x:c r="A9" s="4" t="s">
        <x:v>275</x:v>
      </x:c>
      <x:c r="B9" s="4" t="s">
        <x:v>106</x:v>
      </x:c>
      <x:c r="C9" s="4" t="s">
        <x:v>277</x:v>
      </x:c>
      <x:c r="D9" s="4" t="s">
        <x:v>107</x:v>
      </x:c>
      <x:c r="E9" s="4" t="s">
        <x:v>61</x:v>
      </x:c>
      <x:c r="F9" s="4" t="s">
        <x:v>108</x:v>
      </x:c>
      <x:c r="G9" s="4" t="s">
        <x:v>69</x:v>
      </x:c>
      <x:c r="H9" s="4" t="s">
        <x:v>109</x:v>
      </x:c>
      <x:c r="I9" s="4" t="s">
        <x:v>320</x:v>
      </x:c>
      <x:c r="J9" s="4" t="s">
        <x:v>321</x:v>
      </x:c>
      <x:c r="K9" s="4" t="s">
        <x:v>322</x:v>
      </x:c>
      <x:c r="L9" s="4" t="s">
        <x:v>323</x:v>
      </x:c>
      <x:c r="M9" s="4" t="s">
        <x:v>324</x:v>
      </x:c>
      <x:c r="N9" s="5" t="str">
        <x:v>Confirm</x:v>
      </x:c>
      <x:c r="O9" s="5"/>
      <x:c r="P9" s="5" t="str">
        <x:v>The statement is supported by A-M06, not A-M02; the proposed source correction and traceability rule are correct.</x:v>
      </x:c>
      <x:c r="Q9" s="5" t="str">
        <x:v>A / 2026-08-11</x:v>
      </x:c>
      <x:c r="R9" s="6" t="str">
        <x:f aca="0">IF(AND(N9&lt;&gt;"",P9&lt;&gt;"",Q9&lt;&gt;"",OR(N9="Confirm",O9&lt;&gt;"")),"PASS","INCOMPLETE")</x:f>
        <x:v>PASS</x:v>
      </x:c>
    </x:row>
    <x:row r="10" ht="35.04999923706055" hidden="0">
      <x:c r="A10" s="4" t="s">
        <x:v>275</x:v>
      </x:c>
      <x:c r="B10" s="4" t="s">
        <x:v>110</x:v>
      </x:c>
      <x:c r="C10" s="4" t="s">
        <x:v>279</x:v>
      </x:c>
      <x:c r="D10" s="4" t="s">
        <x:v>111</x:v>
      </x:c>
      <x:c r="E10" s="4" t="s">
        <x:v>112</x:v>
      </x:c>
      <x:c r="F10" s="4" t="s">
        <x:v>113</x:v>
      </x:c>
      <x:c r="G10" s="4" t="s">
        <x:v>112</x:v>
      </x:c>
      <x:c r="H10" s="4" t="s">
        <x:v>114</x:v>
      </x:c>
      <x:c r="I10" s="4" t="s">
        <x:v>325</x:v>
      </x:c>
      <x:c r="J10" s="4" t="s">
        <x:v>326</x:v>
      </x:c>
      <x:c r="K10" s="4" t="s">
        <x:v>327</x:v>
      </x:c>
      <x:c r="L10" s="4" t="s">
        <x:v>328</x:v>
      </x:c>
      <x:c r="M10" s="4" t="s">
        <x:v>329</x:v>
      </x:c>
      <x:c r="N10" s="5" t="str">
        <x:v>Confirm</x:v>
      </x:c>
      <x:c r="O10" s="5"/>
      <x:c r="P10" s="5" t="str">
        <x:v>A-M12 supports the proposed rule, while A-M14 withholds any effect claim; partial status and the missing-benefit treatment are correct.</x:v>
      </x:c>
      <x:c r="Q10" s="5" t="str">
        <x:v>A / 2026-08-11</x:v>
      </x:c>
      <x:c r="R10" s="6" t="str">
        <x:f aca="0">IF(AND(N10&lt;&gt;"",P10&lt;&gt;"",Q10&lt;&gt;"",OR(N10="Confirm",O10&lt;&gt;"")),"PASS","INCOMPLETE")</x:f>
        <x:v>PASS</x:v>
      </x:c>
    </x:row>
    <x:row r="11" ht="23.850000381469727" hidden="0">
      <x:c r="A11" s="4" t="s">
        <x:v>280</x:v>
      </x:c>
      <x:c r="B11" s="4" t="s">
        <x:v>137</x:v>
      </x:c>
      <x:c r="C11" s="4" t="s">
        <x:v>276</x:v>
      </x:c>
      <x:c r="D11" s="4" t="s">
        <x:v>138</x:v>
      </x:c>
      <x:c r="E11" s="4" t="s">
        <x:v>117</x:v>
      </x:c>
      <x:c r="F11" s="4" t="s">
        <x:v>92</x:v>
      </x:c>
      <x:c r="G11" s="4" t="s">
        <x:v>117</x:v>
      </x:c>
      <x:c r="H11" s="4" t="s">
        <x:v>93</x:v>
      </x:c>
      <x:c r="I11" s="4" t="s">
        <x:v>302</x:v>
      </x:c>
      <x:c r="J11" s="4" t="s">
        <x:v>303</x:v>
      </x:c>
      <x:c r="K11" s="4" t="s">
        <x:v>330</x:v>
      </x:c>
      <x:c r="L11" s="4" t="s">
        <x:v>305</x:v>
      </x:c>
      <x:c r="M11" s="4" t="s">
        <x:v>331</x:v>
      </x:c>
      <x:c r="N11" s="5" t="str">
        <x:v>Confirm</x:v>
      </x:c>
      <x:c r="O11" s="5"/>
      <x:c r="P11" s="5" t="str">
        <x:v>B-M02 directly supports the in-room note-taker role, monthly review and remote participation; Include is appropriate.</x:v>
      </x:c>
      <x:c r="Q11" s="5" t="str">
        <x:v>A / 2026-08-11</x:v>
      </x:c>
      <x:c r="R11" s="6" t="str">
        <x:f aca="0">IF(AND(N11&lt;&gt;"",P11&lt;&gt;"",Q11&lt;&gt;"",OR(N11="Confirm",O11&lt;&gt;"")),"PASS","INCOMPLETE")</x:f>
        <x:v>PASS</x:v>
      </x:c>
    </x:row>
    <x:row r="12" ht="23.850000381469727" hidden="0">
      <x:c r="A12" s="4" t="s">
        <x:v>280</x:v>
      </x:c>
      <x:c r="B12" s="4" t="s">
        <x:v>139</x:v>
      </x:c>
      <x:c r="C12" s="4" t="s">
        <x:v>277</x:v>
      </x:c>
      <x:c r="D12" s="4" t="s">
        <x:v>140</x:v>
      </x:c>
      <x:c r="E12" s="4" t="s">
        <x:v>141</x:v>
      </x:c>
      <x:c r="F12" s="4" t="s">
        <x:v>92</x:v>
      </x:c>
      <x:c r="G12" s="4" t="s">
        <x:v>141</x:v>
      </x:c>
      <x:c r="H12" s="4" t="s">
        <x:v>93</x:v>
      </x:c>
      <x:c r="I12" s="4" t="s">
        <x:v>302</x:v>
      </x:c>
      <x:c r="J12" s="4" t="s">
        <x:v>303</x:v>
      </x:c>
      <x:c r="K12" s="4" t="s">
        <x:v>332</x:v>
      </x:c>
      <x:c r="L12" s="4" t="s">
        <x:v>308</x:v>
      </x:c>
      <x:c r="M12" s="4" t="s">
        <x:v>333</x:v>
      </x:c>
      <x:c r="N12" s="5" t="str">
        <x:v>Confirm</x:v>
      </x:c>
      <x:c r="O12" s="5"/>
      <x:c r="P12" s="5" t="str">
        <x:v>B-M04 supports the display configuration and B-M06 its observed effect; the cumulative source and Include rule are correct.</x:v>
      </x:c>
      <x:c r="Q12" s="5" t="str">
        <x:v>A / 2026-08-11</x:v>
      </x:c>
      <x:c r="R12" s="6" t="str">
        <x:f aca="0">IF(AND(N12&lt;&gt;"",P12&lt;&gt;"",Q12&lt;&gt;"",OR(N12="Confirm",O12&lt;&gt;"")),"PASS","INCOMPLETE")</x:f>
        <x:v>PASS</x:v>
      </x:c>
    </x:row>
    <x:row r="13" ht="35.04999923706055" hidden="0">
      <x:c r="A13" s="4" t="s">
        <x:v>280</x:v>
      </x:c>
      <x:c r="B13" s="4" t="s">
        <x:v>142</x:v>
      </x:c>
      <x:c r="C13" s="4" t="s">
        <x:v>278</x:v>
      </x:c>
      <x:c r="D13" s="4" t="s">
        <x:v>143</x:v>
      </x:c>
      <x:c r="E13" s="4" t="s">
        <x:v>144</x:v>
      </x:c>
      <x:c r="F13" s="4" t="s">
        <x:v>100</x:v>
      </x:c>
      <x:c r="G13" s="4" t="s">
        <x:v>144</x:v>
      </x:c>
      <x:c r="H13" s="4" t="s">
        <x:v>101</x:v>
      </x:c>
      <x:c r="I13" s="4" t="s">
        <x:v>310</x:v>
      </x:c>
      <x:c r="J13" s="4" t="s">
        <x:v>334</x:v>
      </x:c>
      <x:c r="K13" s="4" t="s">
        <x:v>335</x:v>
      </x:c>
      <x:c r="L13" s="4" t="s">
        <x:v>336</x:v>
      </x:c>
      <x:c r="M13" s="4" t="s">
        <x:v>337</x:v>
      </x:c>
      <x:c r="N13" s="5" t="str">
        <x:v>Confirm</x:v>
      </x:c>
      <x:c r="O13" s="5"/>
      <x:c r="P13" s="5" t="str">
        <x:v>B-M08/B-M10 support a delayed response to the question, not an immediate restart; partial support and the proposed narrowing are correct.</x:v>
      </x:c>
      <x:c r="Q13" s="5" t="str">
        <x:v>A / 2026-08-11</x:v>
      </x:c>
      <x:c r="R13" s="6" t="str">
        <x:f aca="0">IF(AND(N13&lt;&gt;"",P13&lt;&gt;"",Q13&lt;&gt;"",OR(N13="Confirm",O13&lt;&gt;"")),"PASS","INCOMPLETE")</x:f>
        <x:v>PASS</x:v>
      </x:c>
    </x:row>
    <x:row r="14" ht="23.850000381469727" hidden="0">
      <x:c r="A14" s="4" t="s">
        <x:v>280</x:v>
      </x:c>
      <x:c r="B14" s="4" t="s">
        <x:v>145</x:v>
      </x:c>
      <x:c r="C14" s="4" t="s">
        <x:v>278</x:v>
      </x:c>
      <x:c r="D14" s="4" t="s">
        <x:v>146</x:v>
      </x:c>
      <x:c r="E14" s="4" t="s">
        <x:v>126</x:v>
      </x:c>
      <x:c r="F14" s="4" t="s">
        <x:v>104</x:v>
      </x:c>
      <x:c r="G14" s="4"/>
      <x:c r="H14" s="4" t="s">
        <x:v>105</x:v>
      </x:c>
      <x:c r="I14" s="4" t="s">
        <x:v>315</x:v>
      </x:c>
      <x:c r="J14" s="4" t="s">
        <x:v>338</x:v>
      </x:c>
      <x:c r="K14" s="4" t="s">
        <x:v>317</x:v>
      </x:c>
      <x:c r="L14" s="4" t="s">
        <x:v>318</x:v>
      </x:c>
      <x:c r="M14" s="4" t="s">
        <x:v>319</x:v>
      </x:c>
      <x:c r="N14" s="5" t="str">
        <x:v>Confirm</x:v>
      </x:c>
      <x:c r="O14" s="5"/>
      <x:c r="P14" s="5" t="str">
        <x:v>The transcript does not say the remote attendee left, so exclusion and the unsupported-evidence rule are appropriate.</x:v>
      </x:c>
      <x:c r="Q14" s="5" t="str">
        <x:v>A / 2026-08-11</x:v>
      </x:c>
      <x:c r="R14" s="6" t="str">
        <x:f aca="0">IF(AND(N14&lt;&gt;"",P14&lt;&gt;"",Q14&lt;&gt;"",OR(N14="Confirm",O14&lt;&gt;"")),"PASS","INCOMPLETE")</x:f>
        <x:v>PASS</x:v>
      </x:c>
    </x:row>
    <x:row r="15" ht="23.850000381469727" hidden="0">
      <x:c r="A15" s="4" t="s">
        <x:v>280</x:v>
      </x:c>
      <x:c r="B15" s="4" t="s">
        <x:v>147</x:v>
      </x:c>
      <x:c r="C15" s="4" t="s">
        <x:v>277</x:v>
      </x:c>
      <x:c r="D15" s="4" t="s">
        <x:v>148</x:v>
      </x:c>
      <x:c r="E15" s="4" t="s">
        <x:v>117</x:v>
      </x:c>
      <x:c r="F15" s="4" t="s">
        <x:v>108</x:v>
      </x:c>
      <x:c r="G15" s="4" t="s">
        <x:v>123</x:v>
      </x:c>
      <x:c r="H15" s="4" t="s">
        <x:v>109</x:v>
      </x:c>
      <x:c r="I15" s="4" t="s">
        <x:v>320</x:v>
      </x:c>
      <x:c r="J15" s="4" t="s">
        <x:v>339</x:v>
      </x:c>
      <x:c r="K15" s="4" t="s">
        <x:v>340</x:v>
      </x:c>
      <x:c r="L15" s="4" t="s">
        <x:v>341</x:v>
      </x:c>
      <x:c r="M15" s="4" t="s">
        <x:v>342</x:v>
      </x:c>
      <x:c r="N15" s="5" t="str">
        <x:v>Confirm</x:v>
      </x:c>
      <x:c r="O15" s="5"/>
      <x:c r="P15" s="5" t="str">
        <x:v>The statement is supported by B-M06, not B-M02; the proposed source correction preserves the statement and restores traceability.</x:v>
      </x:c>
      <x:c r="Q15" s="5" t="str">
        <x:v>A / 2026-08-11</x:v>
      </x:c>
      <x:c r="R15" s="6" t="str">
        <x:f aca="0">IF(AND(N15&lt;&gt;"",P15&lt;&gt;"",Q15&lt;&gt;"",OR(N15="Confirm",O15&lt;&gt;"")),"PASS","INCOMPLETE")</x:f>
        <x:v>PASS</x:v>
      </x:c>
    </x:row>
    <x:row r="16" ht="35.04999923706055" hidden="0">
      <x:c r="A16" s="4" t="s">
        <x:v>280</x:v>
      </x:c>
      <x:c r="B16" s="4" t="s">
        <x:v>149</x:v>
      </x:c>
      <x:c r="C16" s="4" t="s">
        <x:v>279</x:v>
      </x:c>
      <x:c r="D16" s="4" t="s">
        <x:v>150</x:v>
      </x:c>
      <x:c r="E16" s="4" t="s">
        <x:v>151</x:v>
      </x:c>
      <x:c r="F16" s="4" t="s">
        <x:v>113</x:v>
      </x:c>
      <x:c r="G16" s="4" t="s">
        <x:v>151</x:v>
      </x:c>
      <x:c r="H16" s="4" t="s">
        <x:v>114</x:v>
      </x:c>
      <x:c r="I16" s="4" t="s">
        <x:v>325</x:v>
      </x:c>
      <x:c r="J16" s="4" t="s">
        <x:v>343</x:v>
      </x:c>
      <x:c r="K16" s="4" t="s">
        <x:v>327</x:v>
      </x:c>
      <x:c r="L16" s="4" t="s">
        <x:v>344</x:v>
      </x:c>
      <x:c r="M16" s="4" t="s">
        <x:v>329</x:v>
      </x:c>
      <x:c r="N16" s="5" t="str">
        <x:v>Confirm</x:v>
      </x:c>
      <x:c r="O16" s="5"/>
      <x:c r="P16" s="5" t="str">
        <x:v>B-M12 supports the second-screen proposal, while B-M14 leaves its effect untested; partial status and missingness treatment are correct.</x:v>
      </x:c>
      <x:c r="Q16" s="5" t="str">
        <x:v>A / 2026-08-11</x:v>
      </x:c>
      <x:c r="R16" s="6" t="str">
        <x:f aca="0">IF(AND(N16&lt;&gt;"",P16&lt;&gt;"",Q16&lt;&gt;"",OR(N16="Confirm",O16&lt;&gt;"")),"PASS","INCOMPLETE")</x:f>
        <x:v>PASS</x:v>
      </x:c>
    </x:row>
    <x:row r="17" ht="23.850000381469727" hidden="0">
      <x:c r="A17" s="4" t="s">
        <x:v>281</x:v>
      </x:c>
      <x:c r="B17" s="4" t="s">
        <x:v>177</x:v>
      </x:c>
      <x:c r="C17" s="4" t="s">
        <x:v>282</x:v>
      </x:c>
      <x:c r="D17" s="4" t="s">
        <x:v>178</x:v>
      </x:c>
      <x:c r="E17" s="4" t="s">
        <x:v>61</x:v>
      </x:c>
      <x:c r="F17" s="4" t="s">
        <x:v>92</x:v>
      </x:c>
      <x:c r="G17" s="4" t="s">
        <x:v>61</x:v>
      </x:c>
      <x:c r="H17" s="4" t="s">
        <x:v>93</x:v>
      </x:c>
      <x:c r="I17" s="4" t="s">
        <x:v>302</x:v>
      </x:c>
      <x:c r="J17" s="4" t="s">
        <x:v>303</x:v>
      </x:c>
      <x:c r="K17" s="4" t="s">
        <x:v>345</x:v>
      </x:c>
      <x:c r="L17" s="4" t="s">
        <x:v>346</x:v>
      </x:c>
      <x:c r="M17" s="4" t="s">
        <x:v>306</x:v>
      </x:c>
      <x:c r="N17" s="5" t="str">
        <x:v>Confirm</x:v>
      </x:c>
      <x:c r="O17" s="5"/>
      <x:c r="P17" s="5" t="str">
        <x:v>A-M02 directly supports the city-bus journey, evening-course purpose and road-closure diversion; Include is appropriate.</x:v>
      </x:c>
      <x:c r="Q17" s="5" t="str">
        <x:v>A / 2026-08-11</x:v>
      </x:c>
      <x:c r="R17" s="6" t="str">
        <x:f aca="0">IF(AND(N17&lt;&gt;"",P17&lt;&gt;"",Q17&lt;&gt;"",OR(N17="Confirm",O17&lt;&gt;"")),"PASS","INCOMPLETE")</x:f>
        <x:v>PASS</x:v>
      </x:c>
    </x:row>
    <x:row r="18" ht="35.04999923706055" hidden="0">
      <x:c r="A18" s="4" t="s">
        <x:v>281</x:v>
      </x:c>
      <x:c r="B18" s="4" t="s">
        <x:v>179</x:v>
      </x:c>
      <x:c r="C18" s="4" t="s">
        <x:v>283</x:v>
      </x:c>
      <x:c r="D18" s="4" t="s">
        <x:v>180</x:v>
      </x:c>
      <x:c r="E18" s="4" t="s">
        <x:v>96</x:v>
      </x:c>
      <x:c r="F18" s="4" t="s">
        <x:v>92</x:v>
      </x:c>
      <x:c r="G18" s="4" t="s">
        <x:v>96</x:v>
      </x:c>
      <x:c r="H18" s="4" t="s">
        <x:v>93</x:v>
      </x:c>
      <x:c r="I18" s="4" t="s">
        <x:v>302</x:v>
      </x:c>
      <x:c r="J18" s="4" t="s">
        <x:v>303</x:v>
      </x:c>
      <x:c r="K18" s="4" t="s">
        <x:v>347</x:v>
      </x:c>
      <x:c r="L18" s="4" t="s">
        <x:v>348</x:v>
      </x:c>
      <x:c r="M18" s="4" t="s">
        <x:v>309</x:v>
      </x:c>
      <x:c r="N18" s="5" t="str">
        <x:v>Confirm</x:v>
      </x:c>
      <x:c r="O18" s="5"/>
      <x:c r="P18" s="5" t="str">
        <x:v>A-M04/A-M06 support the checking sequence and the conflicting route information; the cumulative source and Include rule are correct.</x:v>
      </x:c>
      <x:c r="Q18" s="5" t="str">
        <x:v>A / 2026-08-11</x:v>
      </x:c>
      <x:c r="R18" s="6" t="str">
        <x:f aca="0">IF(AND(N18&lt;&gt;"",P18&lt;&gt;"",Q18&lt;&gt;"",OR(N18="Confirm",O18&lt;&gt;"")),"PASS","INCOMPLETE")</x:f>
        <x:v>PASS</x:v>
      </x:c>
    </x:row>
    <x:row r="19" ht="23.850000381469727" hidden="0">
      <x:c r="A19" s="4" t="s">
        <x:v>281</x:v>
      </x:c>
      <x:c r="B19" s="4" t="s">
        <x:v>181</x:v>
      </x:c>
      <x:c r="C19" s="4" t="s">
        <x:v>284</x:v>
      </x:c>
      <x:c r="D19" s="4" t="s">
        <x:v>182</x:v>
      </x:c>
      <x:c r="E19" s="4" t="s">
        <x:v>99</x:v>
      </x:c>
      <x:c r="F19" s="4" t="s">
        <x:v>100</x:v>
      </x:c>
      <x:c r="G19" s="4" t="s">
        <x:v>99</x:v>
      </x:c>
      <x:c r="H19" s="4" t="s">
        <x:v>101</x:v>
      </x:c>
      <x:c r="I19" s="4" t="s">
        <x:v>310</x:v>
      </x:c>
      <x:c r="J19" s="4" t="s">
        <x:v>349</x:v>
      </x:c>
      <x:c r="K19" s="4" t="s">
        <x:v>350</x:v>
      </x:c>
      <x:c r="L19" s="4" t="s">
        <x:v>351</x:v>
      </x:c>
      <x:c r="M19" s="4" t="s">
        <x:v>314</x:v>
      </x:c>
      <x:c r="N19" s="5" t="str">
        <x:v>Confirm</x:v>
      </x:c>
      <x:c r="O19" s="5"/>
      <x:c r="P19" s="5" t="str">
        <x:v>A-M08/A-M10 support getting off early, walking to a tram stop and arriving late, but not taking a tram or arriving on time; the edit is correct.</x:v>
      </x:c>
      <x:c r="Q19" s="5" t="str">
        <x:v>A / 2026-08-11</x:v>
      </x:c>
      <x:c r="R19" s="6" t="str">
        <x:f aca="0">IF(AND(N19&lt;&gt;"",P19&lt;&gt;"",Q19&lt;&gt;"",OR(N19="Confirm",O19&lt;&gt;"")),"PASS","INCOMPLETE")</x:f>
        <x:v>PASS</x:v>
      </x:c>
    </x:row>
    <x:row r="20" ht="23.850000381469727" hidden="0">
      <x:c r="A20" s="4" t="s">
        <x:v>281</x:v>
      </x:c>
      <x:c r="B20" s="4" t="s">
        <x:v>183</x:v>
      </x:c>
      <x:c r="C20" s="4" t="s">
        <x:v>283</x:v>
      </x:c>
      <x:c r="D20" s="4" t="s">
        <x:v>184</x:v>
      </x:c>
      <x:c r="E20" s="4" t="s">
        <x:v>65</x:v>
      </x:c>
      <x:c r="F20" s="4" t="s">
        <x:v>104</x:v>
      </x:c>
      <x:c r="G20" s="4"/>
      <x:c r="H20" s="4" t="s">
        <x:v>105</x:v>
      </x:c>
      <x:c r="I20" s="4" t="s">
        <x:v>315</x:v>
      </x:c>
      <x:c r="J20" s="4" t="s">
        <x:v>352</x:v>
      </x:c>
      <x:c r="K20" s="4" t="s">
        <x:v>353</x:v>
      </x:c>
      <x:c r="L20" s="4" t="s">
        <x:v>318</x:v>
      </x:c>
      <x:c r="M20" s="4" t="s">
        <x:v>319</x:v>
      </x:c>
      <x:c r="N20" s="5" t="str">
        <x:v>Confirm</x:v>
      </x:c>
      <x:c r="O20" s="5"/>
      <x:c r="P20" s="5" t="str">
        <x:v>A-M04 describes a manual check after the route change and contains no push notification; exclusion is the correct treatment.</x:v>
      </x:c>
      <x:c r="Q20" s="5" t="str">
        <x:v>A / 2026-08-11</x:v>
      </x:c>
      <x:c r="R20" s="6" t="str">
        <x:f aca="0">IF(AND(N20&lt;&gt;"",P20&lt;&gt;"",Q20&lt;&gt;"",OR(N20="Confirm",O20&lt;&gt;"")),"PASS","INCOMPLETE")</x:f>
        <x:v>PASS</x:v>
      </x:c>
    </x:row>
    <x:row r="21" ht="23.850000381469727" hidden="0">
      <x:c r="A21" s="4" t="s">
        <x:v>281</x:v>
      </x:c>
      <x:c r="B21" s="4" t="s">
        <x:v>185</x:v>
      </x:c>
      <x:c r="C21" s="4" t="s">
        <x:v>283</x:v>
      </x:c>
      <x:c r="D21" s="4" t="s">
        <x:v>186</x:v>
      </x:c>
      <x:c r="E21" s="4" t="s">
        <x:v>61</x:v>
      </x:c>
      <x:c r="F21" s="4" t="s">
        <x:v>108</x:v>
      </x:c>
      <x:c r="G21" s="4" t="s">
        <x:v>69</x:v>
      </x:c>
      <x:c r="H21" s="4" t="s">
        <x:v>109</x:v>
      </x:c>
      <x:c r="I21" s="4" t="s">
        <x:v>320</x:v>
      </x:c>
      <x:c r="J21" s="4" t="s">
        <x:v>321</x:v>
      </x:c>
      <x:c r="K21" s="4" t="s">
        <x:v>354</x:v>
      </x:c>
      <x:c r="L21" s="4" t="s">
        <x:v>323</x:v>
      </x:c>
      <x:c r="M21" s="4" t="s">
        <x:v>324</x:v>
      </x:c>
      <x:c r="N21" s="5" t="str">
        <x:v>Confirm</x:v>
      </x:c>
      <x:c r="O21" s="5"/>
      <x:c r="P21" s="5" t="str">
        <x:v>The display and alert-page comparison is in A-M06, not A-M02; the source correction and traceability rule are correct.</x:v>
      </x:c>
      <x:c r="Q21" s="5" t="str">
        <x:v>A / 2026-08-11</x:v>
      </x:c>
      <x:c r="R21" s="6" t="str">
        <x:f aca="0">IF(AND(N21&lt;&gt;"",P21&lt;&gt;"",Q21&lt;&gt;"",OR(N21="Confirm",O21&lt;&gt;"")),"PASS","INCOMPLETE")</x:f>
        <x:v>PASS</x:v>
      </x:c>
    </x:row>
    <x:row r="22" ht="35.04999923706055" hidden="0">
      <x:c r="A22" s="4" t="s">
        <x:v>281</x:v>
      </x:c>
      <x:c r="B22" s="4" t="s">
        <x:v>187</x:v>
      </x:c>
      <x:c r="C22" s="4" t="s">
        <x:v>285</x:v>
      </x:c>
      <x:c r="D22" s="4" t="s">
        <x:v>188</x:v>
      </x:c>
      <x:c r="E22" s="4" t="s">
        <x:v>112</x:v>
      </x:c>
      <x:c r="F22" s="4" t="s">
        <x:v>113</x:v>
      </x:c>
      <x:c r="G22" s="4" t="s">
        <x:v>112</x:v>
      </x:c>
      <x:c r="H22" s="4" t="s">
        <x:v>114</x:v>
      </x:c>
      <x:c r="I22" s="4" t="s">
        <x:v>325</x:v>
      </x:c>
      <x:c r="J22" s="4" t="s">
        <x:v>355</x:v>
      </x:c>
      <x:c r="K22" s="4" t="s">
        <x:v>327</x:v>
      </x:c>
      <x:c r="L22" s="4" t="s">
        <x:v>356</x:v>
      </x:c>
      <x:c r="M22" s="4" t="s">
        <x:v>329</x:v>
      </x:c>
      <x:c r="N22" s="5" t="str">
        <x:v>Confirm</x:v>
      </x:c>
      <x:c r="O22" s="5"/>
      <x:c r="P22" s="5" t="str">
        <x:v>A-M12 supports the preferred consistency change and A-M14 explicitly leaves its outcome unknown; the partial and missingness rules are correct.</x:v>
      </x:c>
      <x:c r="Q22" s="5" t="str">
        <x:v>A / 2026-08-11</x:v>
      </x:c>
      <x:c r="R22" s="6" t="str">
        <x:f aca="0">IF(AND(N22&lt;&gt;"",P22&lt;&gt;"",Q22&lt;&gt;"",OR(N22="Confirm",O22&lt;&gt;"")),"PASS","INCOMPLETE")</x:f>
        <x:v>PASS</x:v>
      </x:c>
    </x:row>
    <x:row r="23" ht="35.04999923706055" hidden="0">
      <x:c r="A23" s="4" t="s">
        <x:v>286</x:v>
      </x:c>
      <x:c r="B23" s="4" t="s">
        <x:v>197</x:v>
      </x:c>
      <x:c r="C23" s="4" t="s">
        <x:v>282</x:v>
      </x:c>
      <x:c r="D23" s="4" t="s">
        <x:v>198</x:v>
      </x:c>
      <x:c r="E23" s="4" t="s">
        <x:v>117</x:v>
      </x:c>
      <x:c r="F23" s="4" t="s">
        <x:v>92</x:v>
      </x:c>
      <x:c r="G23" s="4" t="s">
        <x:v>117</x:v>
      </x:c>
      <x:c r="H23" s="4" t="s">
        <x:v>93</x:v>
      </x:c>
      <x:c r="I23" s="4" t="s">
        <x:v>302</x:v>
      </x:c>
      <x:c r="J23" s="4" t="s">
        <x:v>303</x:v>
      </x:c>
      <x:c r="K23" s="4" t="s">
        <x:v>357</x:v>
      </x:c>
      <x:c r="L23" s="4" t="s">
        <x:v>346</x:v>
      </x:c>
      <x:c r="M23" s="4" t="s">
        <x:v>331</x:v>
      </x:c>
      <x:c r="N23" s="5" t="str">
        <x:v>Confirm</x:v>
      </x:c>
      <x:c r="O23" s="5"/>
      <x:c r="P23" s="5" t="str">
        <x:v>B-M02 directly supports the regional-train journey, volunteer-shift purpose, cancellation and replacement bus; Include is appropriate.</x:v>
      </x:c>
      <x:c r="Q23" s="5" t="str">
        <x:v>A / 2026-08-11</x:v>
      </x:c>
      <x:c r="R23" s="6" t="str">
        <x:f aca="0">IF(AND(N23&lt;&gt;"",P23&lt;&gt;"",Q23&lt;&gt;"",OR(N23="Confirm",O23&lt;&gt;"")),"PASS","INCOMPLETE")</x:f>
        <x:v>PASS</x:v>
      </x:c>
    </x:row>
    <x:row r="24" ht="46.25" hidden="0">
      <x:c r="A24" s="4" t="s">
        <x:v>286</x:v>
      </x:c>
      <x:c r="B24" s="4" t="s">
        <x:v>199</x:v>
      </x:c>
      <x:c r="C24" s="4" t="s">
        <x:v>283</x:v>
      </x:c>
      <x:c r="D24" s="4" t="s">
        <x:v>200</x:v>
      </x:c>
      <x:c r="E24" s="4" t="s">
        <x:v>141</x:v>
      </x:c>
      <x:c r="F24" s="4" t="s">
        <x:v>92</x:v>
      </x:c>
      <x:c r="G24" s="4" t="s">
        <x:v>141</x:v>
      </x:c>
      <x:c r="H24" s="4" t="s">
        <x:v>93</x:v>
      </x:c>
      <x:c r="I24" s="4" t="s">
        <x:v>302</x:v>
      </x:c>
      <x:c r="J24" s="4" t="s">
        <x:v>303</x:v>
      </x:c>
      <x:c r="K24" s="4" t="s">
        <x:v>358</x:v>
      </x:c>
      <x:c r="L24" s="4" t="s">
        <x:v>348</x:v>
      </x:c>
      <x:c r="M24" s="4" t="s">
        <x:v>333</x:v>
      </x:c>
      <x:c r="N24" s="5" t="str">
        <x:v>Confirm</x:v>
      </x:c>
      <x:c r="O24" s="5"/>
      <x:c r="P24" s="5" t="str">
        <x:v>B-M04/B-M06 support the source sequence, planner conflict and departure-point information; the cumulative source is correct.</x:v>
      </x:c>
      <x:c r="Q24" s="5" t="str">
        <x:v>A / 2026-08-11</x:v>
      </x:c>
      <x:c r="R24" s="6" t="str">
        <x:f aca="0">IF(AND(N24&lt;&gt;"",P24&lt;&gt;"",Q24&lt;&gt;"",OR(N24="Confirm",O24&lt;&gt;"")),"PASS","INCOMPLETE")</x:f>
        <x:v>PASS</x:v>
      </x:c>
    </x:row>
    <x:row r="25" ht="23.850000381469727" hidden="0">
      <x:c r="A25" s="4" t="s">
        <x:v>286</x:v>
      </x:c>
      <x:c r="B25" s="4" t="s">
        <x:v>201</x:v>
      </x:c>
      <x:c r="C25" s="4" t="s">
        <x:v>284</x:v>
      </x:c>
      <x:c r="D25" s="4" t="s">
        <x:v>202</x:v>
      </x:c>
      <x:c r="E25" s="4" t="s">
        <x:v>144</x:v>
      </x:c>
      <x:c r="F25" s="4" t="s">
        <x:v>100</x:v>
      </x:c>
      <x:c r="G25" s="4" t="s">
        <x:v>144</x:v>
      </x:c>
      <x:c r="H25" s="4" t="s">
        <x:v>101</x:v>
      </x:c>
      <x:c r="I25" s="4" t="s">
        <x:v>310</x:v>
      </x:c>
      <x:c r="J25" s="4" t="s">
        <x:v>359</x:v>
      </x:c>
      <x:c r="K25" s="4" t="s">
        <x:v>360</x:v>
      </x:c>
      <x:c r="L25" s="4" t="s">
        <x:v>361</x:v>
      </x:c>
      <x:c r="M25" s="4" t="s">
        <x:v>337</x:v>
      </x:c>
      <x:c r="N25" s="5" t="str">
        <x:v>Confirm</x:v>
      </x:c>
      <x:c r="O25" s="5"/>
      <x:c r="P25" s="5" t="str">
        <x:v>B-M08/B-M10 support taking the replacement bus and arriving about half an hour late, not fifteen minutes late; the proposed edit is correct.</x:v>
      </x:c>
      <x:c r="Q25" s="5" t="str">
        <x:v>A / 2026-08-11</x:v>
      </x:c>
      <x:c r="R25" s="6" t="str">
        <x:f aca="0">IF(AND(N25&lt;&gt;"",P25&lt;&gt;"",Q25&lt;&gt;"",OR(N25="Confirm",O25&lt;&gt;"")),"PASS","INCOMPLETE")</x:f>
        <x:v>PASS</x:v>
      </x:c>
    </x:row>
    <x:row r="26" ht="23.850000381469727" hidden="0">
      <x:c r="A26" s="4" t="s">
        <x:v>286</x:v>
      </x:c>
      <x:c r="B26" s="4" t="s">
        <x:v>203</x:v>
      </x:c>
      <x:c r="C26" s="4" t="s">
        <x:v>283</x:v>
      </x:c>
      <x:c r="D26" s="4" t="s">
        <x:v>204</x:v>
      </x:c>
      <x:c r="E26" s="4" t="s">
        <x:v>123</x:v>
      </x:c>
      <x:c r="F26" s="4" t="s">
        <x:v>104</x:v>
      </x:c>
      <x:c r="G26" s="4"/>
      <x:c r="H26" s="4" t="s">
        <x:v>105</x:v>
      </x:c>
      <x:c r="I26" s="4" t="s">
        <x:v>315</x:v>
      </x:c>
      <x:c r="J26" s="4" t="s">
        <x:v>362</x:v>
      </x:c>
      <x:c r="K26" s="4" t="s">
        <x:v>363</x:v>
      </x:c>
      <x:c r="L26" s="4" t="s">
        <x:v>318</x:v>
      </x:c>
      <x:c r="M26" s="4" t="s">
        <x:v>319</x:v>
      </x:c>
      <x:c r="N26" s="5" t="str">
        <x:v>Confirm</x:v>
      </x:c>
      <x:c r="O26" s="5"/>
      <x:c r="P26" s="5" t="str">
        <x:v>The transcript records an announcement and service-page information but no staff escort; exclusion is appropriate.</x:v>
      </x:c>
      <x:c r="Q26" s="5" t="str">
        <x:v>A / 2026-08-11</x:v>
      </x:c>
      <x:c r="R26" s="6" t="str">
        <x:f aca="0">IF(AND(N26&lt;&gt;"",P26&lt;&gt;"",Q26&lt;&gt;"",OR(N26="Confirm",O26&lt;&gt;"")),"PASS","INCOMPLETE")</x:f>
        <x:v>PASS</x:v>
      </x:c>
    </x:row>
    <x:row r="27" ht="23.850000381469727" hidden="0">
      <x:c r="A27" s="4" t="s">
        <x:v>286</x:v>
      </x:c>
      <x:c r="B27" s="4" t="s">
        <x:v>205</x:v>
      </x:c>
      <x:c r="C27" s="4" t="s">
        <x:v>283</x:v>
      </x:c>
      <x:c r="D27" s="4" t="s">
        <x:v>206</x:v>
      </x:c>
      <x:c r="E27" s="4" t="s">
        <x:v>117</x:v>
      </x:c>
      <x:c r="F27" s="4" t="s">
        <x:v>108</x:v>
      </x:c>
      <x:c r="G27" s="4" t="s">
        <x:v>123</x:v>
      </x:c>
      <x:c r="H27" s="4" t="s">
        <x:v>109</x:v>
      </x:c>
      <x:c r="I27" s="4" t="s">
        <x:v>320</x:v>
      </x:c>
      <x:c r="J27" s="4" t="s">
        <x:v>339</x:v>
      </x:c>
      <x:c r="K27" s="4" t="s">
        <x:v>364</x:v>
      </x:c>
      <x:c r="L27" s="4" t="s">
        <x:v>341</x:v>
      </x:c>
      <x:c r="M27" s="4" t="s">
        <x:v>342</x:v>
      </x:c>
      <x:c r="N27" s="5" t="str">
        <x:v>Confirm</x:v>
      </x:c>
      <x:c r="O27" s="5"/>
      <x:c r="P27" s="5" t="str">
        <x:v>The planner and service-page comparison is supported by B-M06, not B-M02; the proposed source correction is correct.</x:v>
      </x:c>
      <x:c r="Q27" s="5" t="str">
        <x:v>A / 2026-08-11</x:v>
      </x:c>
      <x:c r="R27" s="6" t="str">
        <x:f aca="0">IF(AND(N27&lt;&gt;"",P27&lt;&gt;"",Q27&lt;&gt;"",OR(N27="Confirm",O27&lt;&gt;"")),"PASS","INCOMPLETE")</x:f>
        <x:v>PASS</x:v>
      </x:c>
    </x:row>
    <x:row r="28" ht="35.04999923706055" hidden="0">
      <x:c r="A28" s="4" t="s">
        <x:v>286</x:v>
      </x:c>
      <x:c r="B28" s="4" t="s">
        <x:v>207</x:v>
      </x:c>
      <x:c r="C28" s="4" t="s">
        <x:v>285</x:v>
      </x:c>
      <x:c r="D28" s="4" t="s">
        <x:v>208</x:v>
      </x:c>
      <x:c r="E28" s="4" t="s">
        <x:v>151</x:v>
      </x:c>
      <x:c r="F28" s="4" t="s">
        <x:v>113</x:v>
      </x:c>
      <x:c r="G28" s="4" t="s">
        <x:v>151</x:v>
      </x:c>
      <x:c r="H28" s="4" t="s">
        <x:v>114</x:v>
      </x:c>
      <x:c r="I28" s="4" t="s">
        <x:v>325</x:v>
      </x:c>
      <x:c r="J28" s="4" t="s">
        <x:v>365</x:v>
      </x:c>
      <x:c r="K28" s="4" t="s">
        <x:v>327</x:v>
      </x:c>
      <x:c r="L28" s="4" t="s">
        <x:v>366</x:v>
      </x:c>
      <x:c r="M28" s="4" t="s">
        <x:v>329</x:v>
      </x:c>
      <x:c r="N28" s="5" t="str">
        <x:v>Confirm</x:v>
      </x:c>
      <x:c r="O28" s="5"/>
      <x:c r="P28" s="5" t="str">
        <x:v>B-M12 supports the requested planner information and B-M14 leaves its arrival effect unknown; the partial and missingness rules are correct.</x:v>
      </x:c>
      <x:c r="Q28" s="5" t="str">
        <x:v>A / 2026-08-11</x:v>
      </x:c>
      <x:c r="R28" s="6" t="str">
        <x:f aca="0">IF(AND(N28&lt;&gt;"",P28&lt;&gt;"",Q28&lt;&gt;"",OR(N28="Confirm",O28&lt;&gt;"")),"PASS","INCOMPLETE")</x:f>
        <x:v>PASS</x:v>
      </x:c>
    </x:row>
    <x:row r="29" ht="23.850000381469727" hidden="0">
      <x:c r="A29" s="4" t="s">
        <x:v>287</x:v>
      </x:c>
      <x:c r="B29" s="4" t="s">
        <x:v>234</x:v>
      </x:c>
      <x:c r="C29" s="4" t="s">
        <x:v>288</x:v>
      </x:c>
      <x:c r="D29" s="4" t="s">
        <x:v>235</x:v>
      </x:c>
      <x:c r="E29" s="4" t="s">
        <x:v>61</x:v>
      </x:c>
      <x:c r="F29" s="4" t="s">
        <x:v>92</x:v>
      </x:c>
      <x:c r="G29" s="4" t="s">
        <x:v>61</x:v>
      </x:c>
      <x:c r="H29" s="4" t="s">
        <x:v>93</x:v>
      </x:c>
      <x:c r="I29" s="4" t="s">
        <x:v>302</x:v>
      </x:c>
      <x:c r="J29" s="4" t="s">
        <x:v>303</x:v>
      </x:c>
      <x:c r="K29" s="4" t="s">
        <x:v>367</x:v>
      </x:c>
      <x:c r="L29" s="4" t="s">
        <x:v>368</x:v>
      </x:c>
      <x:c r="M29" s="4" t="s">
        <x:v>306</x:v>
      </x:c>
      <x:c r="N29" s="5" t="str">
        <x:v>Confirm</x:v>
      </x:c>
      <x:c r="O29" s="5"/>
      <x:c r="P29" s="5" t="str">
        <x:v>A-M02 directly supports the café setting, workshop context, no-fee reason and nearby kiosk; Include is appropriate.</x:v>
      </x:c>
      <x:c r="Q29" s="5" t="str">
        <x:v>A / 2026-08-11</x:v>
      </x:c>
      <x:c r="R29" s="6" t="str">
        <x:f aca="0">IF(AND(N29&lt;&gt;"",P29&lt;&gt;"",Q29&lt;&gt;"",OR(N29="Confirm",O29&lt;&gt;"")),"PASS","INCOMPLETE")</x:f>
        <x:v>PASS</x:v>
      </x:c>
    </x:row>
    <x:row r="30" ht="23.850000381469727" hidden="0">
      <x:c r="A30" s="4" t="s">
        <x:v>287</x:v>
      </x:c>
      <x:c r="B30" s="4" t="s">
        <x:v>236</x:v>
      </x:c>
      <x:c r="C30" s="4" t="s">
        <x:v>289</x:v>
      </x:c>
      <x:c r="D30" s="4" t="s">
        <x:v>237</x:v>
      </x:c>
      <x:c r="E30" s="4" t="s">
        <x:v>96</x:v>
      </x:c>
      <x:c r="F30" s="4" t="s">
        <x:v>92</x:v>
      </x:c>
      <x:c r="G30" s="4" t="s">
        <x:v>96</x:v>
      </x:c>
      <x:c r="H30" s="4" t="s">
        <x:v>93</x:v>
      </x:c>
      <x:c r="I30" s="4" t="s">
        <x:v>302</x:v>
      </x:c>
      <x:c r="J30" s="4" t="s">
        <x:v>303</x:v>
      </x:c>
      <x:c r="K30" s="4" t="s">
        <x:v>369</x:v>
      </x:c>
      <x:c r="L30" s="4" t="s">
        <x:v>370</x:v>
      </x:c>
      <x:c r="M30" s="4" t="s">
        <x:v>309</x:v>
      </x:c>
      <x:c r="N30" s="5" t="str">
        <x:v>Confirm</x:v>
      </x:c>
      <x:c r="O30" s="5"/>
      <x:c r="P30" s="5" t="str">
        <x:v>A-M04/A-M06 support the scan, pending message, second attempt and completed return; the cumulative source is correct.</x:v>
      </x:c>
      <x:c r="Q30" s="5" t="str">
        <x:v>A / 2026-08-11</x:v>
      </x:c>
      <x:c r="R30" s="6" t="str">
        <x:f aca="0">IF(AND(N30&lt;&gt;"",P30&lt;&gt;"",Q30&lt;&gt;"",OR(N30="Confirm",O30&lt;&gt;"")),"PASS","INCOMPLETE")</x:f>
        <x:v>PASS</x:v>
      </x:c>
    </x:row>
    <x:row r="31" ht="46.25" hidden="0">
      <x:c r="A31" s="4" t="s">
        <x:v>287</x:v>
      </x:c>
      <x:c r="B31" s="4" t="s">
        <x:v>238</x:v>
      </x:c>
      <x:c r="C31" s="4" t="s">
        <x:v>290</x:v>
      </x:c>
      <x:c r="D31" s="4" t="s">
        <x:v>239</x:v>
      </x:c>
      <x:c r="E31" s="4" t="s">
        <x:v>99</x:v>
      </x:c>
      <x:c r="F31" s="4" t="s">
        <x:v>100</x:v>
      </x:c>
      <x:c r="G31" s="4" t="s">
        <x:v>99</x:v>
      </x:c>
      <x:c r="H31" s="4" t="s">
        <x:v>101</x:v>
      </x:c>
      <x:c r="I31" s="4" t="s">
        <x:v>310</x:v>
      </x:c>
      <x:c r="J31" s="4" t="s">
        <x:v>371</x:v>
      </x:c>
      <x:c r="K31" s="4" t="s">
        <x:v>372</x:v>
      </x:c>
      <x:c r="L31" s="4" t="s">
        <x:v>373</x:v>
      </x:c>
      <x:c r="M31" s="4" t="s">
        <x:v>314</x:v>
      </x:c>
      <x:c r="N31" s="5" t="str">
        <x:v>Confirm</x:v>
      </x:c>
      <x:c r="O31" s="5"/>
      <x:c r="P31" s="5" t="str">
        <x:v>A-M08/A-M10 support a failed confirmation and limited staff help after the second scan, not immediate manual completion; the edit is correct.</x:v>
      </x:c>
      <x:c r="Q31" s="5" t="str">
        <x:v>A / 2026-08-11</x:v>
      </x:c>
      <x:c r="R31" s="6" t="str">
        <x:f aca="0">IF(AND(N31&lt;&gt;"",P31&lt;&gt;"",Q31&lt;&gt;"",OR(N31="Confirm",O31&lt;&gt;"")),"PASS","INCOMPLETE")</x:f>
        <x:v>PASS</x:v>
      </x:c>
    </x:row>
    <x:row r="32" ht="23.850000381469727" hidden="0">
      <x:c r="A32" s="4" t="s">
        <x:v>287</x:v>
      </x:c>
      <x:c r="B32" s="4" t="s">
        <x:v>240</x:v>
      </x:c>
      <x:c r="C32" s="4" t="s">
        <x:v>289</x:v>
      </x:c>
      <x:c r="D32" s="4" t="s">
        <x:v>241</x:v>
      </x:c>
      <x:c r="E32" s="4" t="s">
        <x:v>69</x:v>
      </x:c>
      <x:c r="F32" s="4" t="s">
        <x:v>104</x:v>
      </x:c>
      <x:c r="G32" s="4"/>
      <x:c r="H32" s="4" t="s">
        <x:v>105</x:v>
      </x:c>
      <x:c r="I32" s="4" t="s">
        <x:v>315</x:v>
      </x:c>
      <x:c r="J32" s="4" t="s">
        <x:v>374</x:v>
      </x:c>
      <x:c r="K32" s="4" t="s">
        <x:v>375</x:v>
      </x:c>
      <x:c r="L32" s="4" t="s">
        <x:v>318</x:v>
      </x:c>
      <x:c r="M32" s="4" t="s">
        <x:v>319</x:v>
      </x:c>
      <x:c r="N32" s="5" t="str">
        <x:v>Confirm</x:v>
      </x:c>
      <x:c r="O32" s="5"/>
      <x:c r="P32" s="5" t="str">
        <x:v>No message mentions a deposit or cash refund, so exclusion and the unsupported-evidence rule are appropriate.</x:v>
      </x:c>
      <x:c r="Q32" s="5" t="str">
        <x:v>A / 2026-08-11</x:v>
      </x:c>
      <x:c r="R32" s="6" t="str">
        <x:f aca="0">IF(AND(N32&lt;&gt;"",P32&lt;&gt;"",Q32&lt;&gt;"",OR(N32="Confirm",O32&lt;&gt;"")),"PASS","INCOMPLETE")</x:f>
        <x:v>PASS</x:v>
      </x:c>
    </x:row>
    <x:row r="33" ht="23.850000381469727" hidden="0">
      <x:c r="A33" s="4" t="s">
        <x:v>287</x:v>
      </x:c>
      <x:c r="B33" s="4" t="s">
        <x:v>242</x:v>
      </x:c>
      <x:c r="C33" s="4" t="s">
        <x:v>289</x:v>
      </x:c>
      <x:c r="D33" s="4" t="s">
        <x:v>243</x:v>
      </x:c>
      <x:c r="E33" s="4" t="s">
        <x:v>61</x:v>
      </x:c>
      <x:c r="F33" s="4" t="s">
        <x:v>108</x:v>
      </x:c>
      <x:c r="G33" s="4" t="s">
        <x:v>69</x:v>
      </x:c>
      <x:c r="H33" s="4" t="s">
        <x:v>109</x:v>
      </x:c>
      <x:c r="I33" s="4" t="s">
        <x:v>320</x:v>
      </x:c>
      <x:c r="J33" s="4" t="s">
        <x:v>321</x:v>
      </x:c>
      <x:c r="K33" s="4" t="s">
        <x:v>376</x:v>
      </x:c>
      <x:c r="L33" s="4" t="s">
        <x:v>323</x:v>
      </x:c>
      <x:c r="M33" s="4" t="s">
        <x:v>324</x:v>
      </x:c>
      <x:c r="N33" s="5" t="str">
        <x:v>Confirm</x:v>
      </x:c>
      <x:c r="O33" s="5"/>
      <x:c r="P33" s="5" t="str">
        <x:v>A-M06 supports the accepted second scan and completed return, whereas A-M02 only covers use context; the source correction is correct.</x:v>
      </x:c>
      <x:c r="Q33" s="5" t="str">
        <x:v>A / 2026-08-11</x:v>
      </x:c>
      <x:c r="R33" s="6" t="str">
        <x:f aca="0">IF(AND(N33&lt;&gt;"",P33&lt;&gt;"",Q33&lt;&gt;"",OR(N33="Confirm",O33&lt;&gt;"")),"PASS","INCOMPLETE")</x:f>
        <x:v>PASS</x:v>
      </x:c>
    </x:row>
    <x:row r="34" ht="35.04999923706055" hidden="0">
      <x:c r="A34" s="4" t="s">
        <x:v>287</x:v>
      </x:c>
      <x:c r="B34" s="4" t="s">
        <x:v>244</x:v>
      </x:c>
      <x:c r="C34" s="4" t="s">
        <x:v>291</x:v>
      </x:c>
      <x:c r="D34" s="4" t="s">
        <x:v>245</x:v>
      </x:c>
      <x:c r="E34" s="4" t="s">
        <x:v>112</x:v>
      </x:c>
      <x:c r="F34" s="4" t="s">
        <x:v>113</x:v>
      </x:c>
      <x:c r="G34" s="4" t="s">
        <x:v>112</x:v>
      </x:c>
      <x:c r="H34" s="4" t="s">
        <x:v>114</x:v>
      </x:c>
      <x:c r="I34" s="4" t="s">
        <x:v>325</x:v>
      </x:c>
      <x:c r="J34" s="4" t="s">
        <x:v>377</x:v>
      </x:c>
      <x:c r="K34" s="4" t="s">
        <x:v>378</x:v>
      </x:c>
      <x:c r="L34" s="4" t="s">
        <x:v>379</x:v>
      </x:c>
      <x:c r="M34" s="4" t="s">
        <x:v>329</x:v>
      </x:c>
      <x:c r="N34" s="5" t="str">
        <x:v>Confirm</x:v>
      </x:c>
      <x:c r="O34" s="5"/>
      <x:c r="P34" s="5" t="str">
        <x:v>A-M12 supports the desired receipt and A-M14 explicitly leaves future-use effect unestablished; partial status and missingness treatment are correct.</x:v>
      </x:c>
      <x:c r="Q34" s="5" t="str">
        <x:v>A / 2026-08-11</x:v>
      </x:c>
      <x:c r="R34" s="6" t="str">
        <x:f aca="0">IF(AND(N34&lt;&gt;"",P34&lt;&gt;"",Q34&lt;&gt;"",OR(N34="Confirm",O34&lt;&gt;"")),"PASS","INCOMPLETE")</x:f>
        <x:v>PASS</x:v>
      </x:c>
    </x:row>
    <x:row r="35" ht="23.850000381469727" hidden="0">
      <x:c r="A35" s="4" t="s">
        <x:v>292</x:v>
      </x:c>
      <x:c r="B35" s="4" t="s">
        <x:v>254</x:v>
      </x:c>
      <x:c r="C35" s="4" t="s">
        <x:v>288</x:v>
      </x:c>
      <x:c r="D35" s="4" t="s">
        <x:v>255</x:v>
      </x:c>
      <x:c r="E35" s="4" t="s">
        <x:v>117</x:v>
      </x:c>
      <x:c r="F35" s="4" t="s">
        <x:v>92</x:v>
      </x:c>
      <x:c r="G35" s="4" t="s">
        <x:v>117</x:v>
      </x:c>
      <x:c r="H35" s="4" t="s">
        <x:v>93</x:v>
      </x:c>
      <x:c r="I35" s="4" t="s">
        <x:v>302</x:v>
      </x:c>
      <x:c r="J35" s="4" t="s">
        <x:v>303</x:v>
      </x:c>
      <x:c r="K35" s="4" t="s">
        <x:v>380</x:v>
      </x:c>
      <x:c r="L35" s="4" t="s">
        <x:v>368</x:v>
      </x:c>
      <x:c r="M35" s="4" t="s">
        <x:v>331</x:v>
      </x:c>
      <x:c r="N35" s="5" t="str">
        <x:v>Confirm</x:v>
      </x:c>
      <x:c r="O35" s="5"/>
      <x:c r="P35" s="5" t="str">
        <x:v>B-M02 directly supports the office food-hall setting, no extra charge and available lobby cabinet; Include is appropriate.</x:v>
      </x:c>
      <x:c r="Q35" s="5" t="str">
        <x:v>A / 2026-08-11</x:v>
      </x:c>
      <x:c r="R35" s="6" t="str">
        <x:f aca="0">IF(AND(N35&lt;&gt;"",P35&lt;&gt;"",Q35&lt;&gt;"",OR(N35="Confirm",O35&lt;&gt;"")),"PASS","INCOMPLETE")</x:f>
        <x:v>PASS</x:v>
      </x:c>
    </x:row>
    <x:row r="36" ht="35.04999923706055" hidden="0">
      <x:c r="A36" s="4" t="s">
        <x:v>292</x:v>
      </x:c>
      <x:c r="B36" s="4" t="s">
        <x:v>256</x:v>
      </x:c>
      <x:c r="C36" s="4" t="s">
        <x:v>289</x:v>
      </x:c>
      <x:c r="D36" s="4" t="s">
        <x:v>257</x:v>
      </x:c>
      <x:c r="E36" s="4" t="s">
        <x:v>141</x:v>
      </x:c>
      <x:c r="F36" s="4" t="s">
        <x:v>92</x:v>
      </x:c>
      <x:c r="G36" s="4" t="s">
        <x:v>141</x:v>
      </x:c>
      <x:c r="H36" s="4" t="s">
        <x:v>93</x:v>
      </x:c>
      <x:c r="I36" s="4" t="s">
        <x:v>302</x:v>
      </x:c>
      <x:c r="J36" s="4" t="s">
        <x:v>303</x:v>
      </x:c>
      <x:c r="K36" s="4" t="s">
        <x:v>381</x:v>
      </x:c>
      <x:c r="L36" s="4" t="s">
        <x:v>370</x:v>
      </x:c>
      <x:c r="M36" s="4" t="s">
        <x:v>333</x:v>
      </x:c>
      <x:c r="N36" s="5" t="str">
        <x:v>Confirm</x:v>
      </x:c>
      <x:c r="O36" s="5"/>
      <x:c r="P36" s="5" t="str">
        <x:v>B-M04/B-M06 support the lid-code scan, cabinet steps, receipt confirmation and first-attempt completion; the cumulative source is correct.</x:v>
      </x:c>
      <x:c r="Q36" s="5" t="str">
        <x:v>A / 2026-08-11</x:v>
      </x:c>
      <x:c r="R36" s="6" t="str">
        <x:f aca="0">IF(AND(N36&lt;&gt;"",P36&lt;&gt;"",Q36&lt;&gt;"",OR(N36="Confirm",O36&lt;&gt;"")),"PASS","INCOMPLETE")</x:f>
        <x:v>PASS</x:v>
      </x:c>
    </x:row>
    <x:row r="37" ht="35.04999923706055" hidden="0">
      <x:c r="A37" s="4" t="s">
        <x:v>292</x:v>
      </x:c>
      <x:c r="B37" s="4" t="s">
        <x:v>258</x:v>
      </x:c>
      <x:c r="C37" s="4" t="s">
        <x:v>290</x:v>
      </x:c>
      <x:c r="D37" s="4" t="s">
        <x:v>259</x:v>
      </x:c>
      <x:c r="E37" s="4" t="s">
        <x:v>144</x:v>
      </x:c>
      <x:c r="F37" s="4" t="s">
        <x:v>100</x:v>
      </x:c>
      <x:c r="G37" s="4" t="s">
        <x:v>144</x:v>
      </x:c>
      <x:c r="H37" s="4" t="s">
        <x:v>101</x:v>
      </x:c>
      <x:c r="I37" s="4" t="s">
        <x:v>310</x:v>
      </x:c>
      <x:c r="J37" s="4" t="s">
        <x:v>382</x:v>
      </x:c>
      <x:c r="K37" s="4" t="s">
        <x:v>383</x:v>
      </x:c>
      <x:c r="L37" s="4" t="s">
        <x:v>384</x:v>
      </x:c>
      <x:c r="M37" s="4" t="s">
        <x:v>337</x:v>
      </x:c>
      <x:c r="N37" s="5" t="str">
        <x:v>Confirm</x:v>
      </x:c>
      <x:c r="O37" s="5"/>
      <x:c r="P37" s="5" t="str">
        <x:v>B-M08/B-M10 show obscured labels, an icon comparison and added time, not immediate clarity; partial support and the edit are correct.</x:v>
      </x:c>
      <x:c r="Q37" s="5" t="str">
        <x:v>A / 2026-08-11</x:v>
      </x:c>
      <x:c r="R37" s="6" t="str">
        <x:f aca="0">IF(AND(N37&lt;&gt;"",P37&lt;&gt;"",Q37&lt;&gt;"",OR(N37="Confirm",O37&lt;&gt;"")),"PASS","INCOMPLETE")</x:f>
        <x:v>PASS</x:v>
      </x:c>
    </x:row>
    <x:row r="38" ht="23.850000381469727" hidden="0">
      <x:c r="A38" s="4" t="s">
        <x:v>292</x:v>
      </x:c>
      <x:c r="B38" s="4" t="s">
        <x:v>260</x:v>
      </x:c>
      <x:c r="C38" s="4" t="s">
        <x:v>289</x:v>
      </x:c>
      <x:c r="D38" s="4" t="s">
        <x:v>261</x:v>
      </x:c>
      <x:c r="E38" s="4" t="s">
        <x:v>120</x:v>
      </x:c>
      <x:c r="F38" s="4" t="s">
        <x:v>104</x:v>
      </x:c>
      <x:c r="G38" s="4"/>
      <x:c r="H38" s="4" t="s">
        <x:v>105</x:v>
      </x:c>
      <x:c r="I38" s="4" t="s">
        <x:v>315</x:v>
      </x:c>
      <x:c r="J38" s="4" t="s">
        <x:v>385</x:v>
      </x:c>
      <x:c r="K38" s="4" t="s">
        <x:v>386</x:v>
      </x:c>
      <x:c r="L38" s="4" t="s">
        <x:v>318</x:v>
      </x:c>
      <x:c r="M38" s="4" t="s">
        <x:v>319</x:v>
      </x:c>
      <x:c r="N38" s="5" t="str">
        <x:v>Confirm</x:v>
      </x:c>
      <x:c r="O38" s="5"/>
      <x:c r="P38" s="5" t="str">
        <x:v>The participant completed the cabinet return without staff assistance, so exclusion and the unsupported-evidence rule are appropriate.</x:v>
      </x:c>
      <x:c r="Q38" s="5" t="str">
        <x:v>A / 2026-08-11</x:v>
      </x:c>
      <x:c r="R38" s="6" t="str">
        <x:f aca="0">IF(AND(N38&lt;&gt;"",P38&lt;&gt;"",Q38&lt;&gt;"",OR(N38="Confirm",O38&lt;&gt;"")),"PASS","INCOMPLETE")</x:f>
        <x:v>PASS</x:v>
      </x:c>
    </x:row>
    <x:row r="39" ht="23.850000381469727" hidden="0">
      <x:c r="A39" s="4" t="s">
        <x:v>292</x:v>
      </x:c>
      <x:c r="B39" s="4" t="s">
        <x:v>262</x:v>
      </x:c>
      <x:c r="C39" s="4" t="s">
        <x:v>289</x:v>
      </x:c>
      <x:c r="D39" s="4" t="s">
        <x:v>263</x:v>
      </x:c>
      <x:c r="E39" s="4" t="s">
        <x:v>117</x:v>
      </x:c>
      <x:c r="F39" s="4" t="s">
        <x:v>108</x:v>
      </x:c>
      <x:c r="G39" s="4" t="s">
        <x:v>123</x:v>
      </x:c>
      <x:c r="H39" s="4" t="s">
        <x:v>109</x:v>
      </x:c>
      <x:c r="I39" s="4" t="s">
        <x:v>320</x:v>
      </x:c>
      <x:c r="J39" s="4" t="s">
        <x:v>339</x:v>
      </x:c>
      <x:c r="K39" s="4" t="s">
        <x:v>387</x:v>
      </x:c>
      <x:c r="L39" s="4" t="s">
        <x:v>341</x:v>
      </x:c>
      <x:c r="M39" s="4" t="s">
        <x:v>342</x:v>
      </x:c>
      <x:c r="N39" s="5" t="str">
        <x:v>Confirm</x:v>
      </x:c>
      <x:c r="O39" s="5"/>
      <x:c r="P39" s="5" t="str">
        <x:v>B-M06 supports the receipt confirmation and first-attempt completion, not B-M02; the proposed source correction is correct.</x:v>
      </x:c>
      <x:c r="Q39" s="5" t="str">
        <x:v>A / 2026-08-11</x:v>
      </x:c>
      <x:c r="R39" s="6" t="str">
        <x:f aca="0">IF(AND(N39&lt;&gt;"",P39&lt;&gt;"",Q39&lt;&gt;"",OR(N39="Confirm",O39&lt;&gt;"")),"PASS","INCOMPLETE")</x:f>
        <x:v>PASS</x:v>
      </x:c>
    </x:row>
    <x:row r="40" ht="35.04999923706055" hidden="0">
      <x:c r="A40" s="4" t="s">
        <x:v>292</x:v>
      </x:c>
      <x:c r="B40" s="4" t="s">
        <x:v>264</x:v>
      </x:c>
      <x:c r="C40" s="4" t="s">
        <x:v>291</x:v>
      </x:c>
      <x:c r="D40" s="4" t="s">
        <x:v>265</x:v>
      </x:c>
      <x:c r="E40" s="4" t="s">
        <x:v>151</x:v>
      </x:c>
      <x:c r="F40" s="4" t="s">
        <x:v>113</x:v>
      </x:c>
      <x:c r="G40" s="4" t="s">
        <x:v>151</x:v>
      </x:c>
      <x:c r="H40" s="4" t="s">
        <x:v>114</x:v>
      </x:c>
      <x:c r="I40" s="4" t="s">
        <x:v>325</x:v>
      </x:c>
      <x:c r="J40" s="4" t="s">
        <x:v>388</x:v>
      </x:c>
      <x:c r="K40" s="4" t="s">
        <x:v>378</x:v>
      </x:c>
      <x:c r="L40" s="4" t="s">
        <x:v>379</x:v>
      </x:c>
      <x:c r="M40" s="4" t="s">
        <x:v>329</x:v>
      </x:c>
      <x:c r="N40" s="5" t="str">
        <x:v>Confirm</x:v>
      </x:c>
      <x:c r="O40" s="5"/>
      <x:c r="P40" s="5" t="str">
        <x:v>B-M12 supports the preferred matching labels and B-M14 leaves their future-use effect untested; partial status and missingness treatment are correct.</x:v>
      </x:c>
      <x:c r="Q40" s="5" t="str">
        <x:v>A / 2026-08-11</x:v>
      </x:c>
      <x:c r="R40" s="6" t="str">
        <x:f aca="0">IF(AND(N40&lt;&gt;"",P40&lt;&gt;"",Q40&lt;&gt;"",OR(N40="Confirm",O40&lt;&gt;"")),"PASS","INCOMPLETE")</x:f>
        <x:v>PASS</x:v>
      </x:c>
    </x:row>
  </x:sheetData>
  <x:mergeCells>
    <x:mergeCell ref="A1:R1"/>
    <x:mergeCell ref="A2:R2"/>
  </x:mergeCells>
  <x:dataValidations count="1">
    <x:dataValidation type="list" errorStyle="stop" operator="between" allowBlank="0" showDropDown="0" showInputMessage="0" showErrorMessage="0" sqref="N5:N40">
      <x:formula1>"Confirm,Amend"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4" hidden="0" customWidth="1"/>
    <x:col min="3" max="4" width="20" hidden="0" customWidth="1"/>
    <x:col min="5" max="5" width="64" hidden="0" customWidth="1"/>
  </x:cols>
  <x:sheetData>
    <x:row r="1" ht="30" hidden="0" customHeight="1">
      <x:c r="A1" s="1" t="s">
        <x:v>389</x:v>
      </x:c>
      <x:c r="B1" s="1"/>
      <x:c r="C1" s="1"/>
      <x:c r="D1" s="1"/>
      <x:c r="E1" s="1"/>
    </x:row>
    <x:row r="2" ht="32" hidden="0" customHeight="1">
      <x:c r="A2" s="2" t="s">
        <x:v>390</x:v>
      </x:c>
      <x:c r="B2" s="2"/>
      <x:c r="C2" s="2"/>
      <x:c r="D2" s="2"/>
      <x:c r="E2" s="2"/>
    </x:row>
    <x:row r="4" ht="15" hidden="0">
      <x:c r="A4" s="3" t="s">
        <x:v>391</x:v>
      </x:c>
      <x:c r="B4" s="3" t="s">
        <x:v>392</x:v>
      </x:c>
      <x:c r="C4" s="3" t="s">
        <x:v>393</x:v>
      </x:c>
      <x:c r="D4" s="3" t="s">
        <x:v>394</x:v>
      </x:c>
      <x:c r="E4" s="3" t="s">
        <x:v>5</x:v>
      </x:c>
    </x:row>
    <x:row r="5" ht="15" hidden="0">
      <x:c r="A5" s="4" t="s">
        <x:v>395</x:v>
      </x:c>
      <x:c r="B5" s="4" t="n">
        <x:v>24</x:v>
      </x:c>
      <x:c r="C5" s="4" t="n">
        <x:f aca="0">COUNTIF('Topic Gold Review'!K5:K28,"PASS")</x:f>
        <x:v>24</x:v>
      </x:c>
      <x:c r="D5" s="4" t="n">
        <x:f aca="0">COUNTIF('Topic Gold Review'!G5:G28,"Amend")</x:f>
        <x:v>0</x:v>
      </x:c>
      <x:c r="E5" s="4" t="str">
        <x:f aca="0">IF(C5=B5,"COMPLETE","INCOMPLETE")</x:f>
        <x:v>COMPLETE</x:v>
      </x:c>
    </x:row>
    <x:row r="6" ht="15" hidden="0">
      <x:c r="A6" s="4" t="s">
        <x:v>396</x:v>
      </x:c>
      <x:c r="B6" s="4" t="n">
        <x:v>36</x:v>
      </x:c>
      <x:c r="C6" s="4" t="n">
        <x:f aca="0">COUNTIF('Item Gold Review'!R5:R40,"PASS")</x:f>
        <x:v>36</x:v>
      </x:c>
      <x:c r="D6" s="4" t="n">
        <x:f aca="0">COUNTIF('Item Gold Review'!N5:N40,"Amend")</x:f>
        <x:v>0</x:v>
      </x:c>
      <x:c r="E6" s="4" t="str">
        <x:f aca="0">IF(C6=B6,"COMPLETE","INCOMPLETE")</x:f>
        <x:v>COMPLETE</x:v>
      </x:c>
    </x:row>
    <x:row r="7" ht="15" hidden="0">
      <x:c r="A7" s="4" t="s">
        <x:v>397</x:v>
      </x:c>
      <x:c r="B7" s="4" t="n">
        <x:v>60</x:v>
      </x:c>
      <x:c r="C7" s="4" t="n">
        <x:f aca="0">SUM(C5:C6)</x:f>
        <x:v>60</x:v>
      </x:c>
      <x:c r="D7" s="4" t="n">
        <x:f aca="0">SUM(D5:D6)</x:f>
        <x:v>0</x:v>
      </x:c>
      <x:c r="E7" s="4" t="str">
        <x:f aca="0">IF(C7=B7,"COMPLETE","INCOMPLETE")</x:f>
        <x:v>COMPLETE</x:v>
      </x:c>
    </x:row>
    <x:row r="8" ht="15" hidden="0">
      <x:c r="A8" s="4"/>
      <x:c r="B8" s="4"/>
      <x:c r="C8" s="4"/>
      <x:c r="D8" s="4"/>
      <x:c r="E8" s="4"/>
    </x:row>
    <x:row r="9" ht="46.25" hidden="0">
      <x:c r="A9" s="4" t="s">
        <x:v>398</x:v>
      </x:c>
      <x:c r="B9" s="4" t="s">
        <x:v>399</x:v>
      </x:c>
      <x:c r="C9" s="4"/>
      <x:c r="D9" s="4"/>
      <x:c r="E9" s="4"/>
    </x:row>
    <x:row r="10" ht="35.04999923706055" hidden="0">
      <x:c r="A10" s="4" t="s">
        <x:v>400</x:v>
      </x:c>
      <x:c r="B10" s="4" t="str">
        <x:v>READY_FOR_FREEZE_PENDING_REHASH</x:v>
      </x:c>
      <x:c r="C10" s="4"/>
      <x:c r="D10" s="4"/>
      <x:c r="E10" s="4"/>
    </x:row>
  </x:sheetData>
  <x:mergeCells>
    <x:mergeCell ref="A1:E1"/>
    <x:mergeCell ref="A2:E2"/>
  </x:mergeCells>
  <x:pageMargins left="0.7" right="0.7" top="0.75" bottom="0.75" header="0.3" footer="0.3"/>
</x:worksheet>
</file>