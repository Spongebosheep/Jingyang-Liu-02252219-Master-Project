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ed63990afd4f03" /></Relationships>
</file>

<file path=xl/workbook.xml><?xml version="1.0" encoding="utf-8"?>
<x:workbook xmlns:x="http://schemas.openxmlformats.org/spreadsheetml/2006/main">
  <x:sheets>
    <x:sheet xmlns:r="http://schemas.openxmlformats.org/officeDocument/2006/relationships" name="Summary" sheetId="1" r:id="R9ca6cefca2394b29"/>
    <x:sheet xmlns:r="http://schemas.openxmlformats.org/officeDocument/2006/relationships" name="Paired Coding" sheetId="2" r:id="R24ee5eb697e142f5"/>
    <x:sheet xmlns:r="http://schemas.openxmlformats.org/officeDocument/2006/relationships" name="Unique Text" sheetId="3" r:id="R55b8653f4d8d4e34"/>
    <x:sheet xmlns:r="http://schemas.openxmlformats.org/officeDocument/2006/relationships" name="Disagreement" sheetId="4" r:id="R1b3cbe0fb2b1432f"/>
    <x:sheet xmlns:r="http://schemas.openxmlformats.org/officeDocument/2006/relationships" name="Provenance &amp; QA" sheetId="5" r:id="R5783e721905c41f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13">
    <x:font>
      <x:sz val="11"/>
      <x:name val="Carlito"/>
    </x:font>
    <x:font>
      <x:b/>
      <x:sz val="16"/>
      <x:color rgb="FFFFFFFF"/>
      <x:name val="Carlito"/>
    </x:font>
    <x:font>
      <x:b/>
      <x:sz val="11"/>
      <x:color rgb="FF143A52"/>
      <x:name val="Carlito"/>
    </x:font>
    <x:font>
      <x:b/>
      <x:sz val="11"/>
      <x:color rgb="FF7A4B00"/>
      <x:name val="Carlito"/>
    </x:font>
    <x:font>
      <x:b/>
      <x:sz val="11"/>
      <x:color rgb="FFFFFFFF"/>
      <x:name val="Carlito"/>
    </x:font>
    <x:font>
      <x:sz val="11"/>
      <x:color rgb="FF17242D"/>
      <x:name val="Carlito"/>
    </x:font>
    <x:font>
      <x:sz val="10"/>
      <x:color rgb="FF17242D"/>
      <x:name val="Carlito"/>
    </x:font>
    <x:font>
      <x:b/>
      <x:sz val="10"/>
      <x:color rgb="FF7A4B00"/>
      <x:name val="Carlito"/>
    </x:font>
    <x:font>
      <x:b/>
      <x:sz val="10"/>
      <x:color rgb="FF143A52"/>
      <x:name val="Carlito"/>
    </x:font>
    <x:font>
      <x:b/>
      <x:sz val="11"/>
      <x:color rgb="FF1B5E3B"/>
      <x:name val="Carlito"/>
    </x:font>
    <x:font>
      <x:b/>
      <x:sz val="10"/>
      <x:color rgb="FF1B5E3B"/>
      <x:name val="Carlito"/>
    </x:font>
    <x:font>
      <x:b/>
      <x:sz val="11"/>
      <x:color rgb="FF173F56"/>
      <x:name val="Carlito"/>
    </x:font>
    <x:font>
      <x:sz val="11"/>
      <x:color rgb="FF1B5E3B"/>
      <x:name val="Carlito"/>
    </x:font>
  </x:fonts>
  <x:fills count="11">
    <x:fill>
      <x:patternFill patternType="none"/>
    </x:fill>
    <x:fill>
      <x:patternFill patternType="gray125"/>
    </x:fill>
    <x:fill>
      <x:patternFill patternType="solid">
        <x:fgColor rgb="FF143A52"/>
      </x:patternFill>
    </x:fill>
    <x:fill>
      <x:patternFill patternType="solid">
        <x:fgColor rgb="FFE8F1F5"/>
      </x:patternFill>
    </x:fill>
    <x:fill>
      <x:patternFill patternType="solid">
        <x:fgColor rgb="FFFFF3C4"/>
      </x:patternFill>
    </x:fill>
    <x:fill>
      <x:patternFill patternType="solid">
        <x:fgColor rgb="FF14858A"/>
      </x:patternFill>
    </x:fill>
    <x:fill>
      <x:patternFill patternType="solid">
        <x:fgColor rgb="FFF2F4F5"/>
      </x:patternFill>
    </x:fill>
    <x:fill>
      <x:patternFill patternType="solid">
        <x:fgColor rgb="FFE0F2E5"/>
      </x:patternFill>
    </x:fill>
    <x:fill>
      <x:patternFill patternType="solid">
        <x:fgColor rgb="FF173F56"/>
      </x:patternFill>
    </x:fill>
    <x:fill>
      <x:patternFill patternType="solid">
        <x:fgColor rgb="FFF4F7F8"/>
      </x:patternFill>
    </x:fill>
    <x:fill>
      <x:patternFill patternType="solid">
        <x:fgColor rgb="FFE8F1F5"/>
      </x:patternFill>
    </x:fill>
  </x:fills>
  <x:borders count="19">
    <x:border/>
    <x:border>
      <x:left style="thin">
        <x:color rgb="FFB9C8D0"/>
      </x:left>
      <x:top style="thin">
        <x:color rgb="FFB9C8D0"/>
      </x:top>
      <x:bottom style="thin">
        <x:color rgb="FFB9C8D0"/>
      </x:bottom>
    </x:border>
    <x:border>
      <x:right style="thin">
        <x:color rgb="FFB9C8D0"/>
      </x:right>
      <x:top style="thin">
        <x:color rgb="FFB9C8D0"/>
      </x:top>
      <x:bottom style="thin">
        <x:color rgb="FFB9C8D0"/>
      </x:bottom>
    </x:border>
    <x:border>
      <x:left style="thin">
        <x:color rgb="FFCDD7DC"/>
      </x:left>
      <x:right style="thin">
        <x:color rgb="FFCDD7DC"/>
      </x:right>
      <x:top style="thin">
        <x:color rgb="FFCDD7DC"/>
      </x:top>
    </x:border>
    <x:border>
      <x:left style="thin">
        <x:color rgb="FFCDD7DC"/>
      </x:left>
      <x:right style="thin">
        <x:color rgb="FFCDD7DC"/>
      </x:right>
    </x:border>
    <x:border>
      <x:left style="thin">
        <x:color rgb="FFCDD7DC"/>
      </x:left>
      <x:right style="thin">
        <x:color rgb="FFCDD7DC"/>
      </x:right>
      <x:bottom style="thin">
        <x:color rgb="FFCDD7DC"/>
      </x:bottom>
    </x:border>
    <x:border>
      <x:top style="thin">
        <x:color rgb="FFB9C8D0"/>
      </x:top>
      <x:bottom style="thin">
        <x:color rgb="FFB9C8D0"/>
      </x:bottom>
    </x:border>
    <x:border>
      <x:left style="thin">
        <x:color rgb="FFCDD7DC"/>
      </x:left>
      <x:right style="thin">
        <x:color rgb="FFCDD7DC"/>
      </x:right>
      <x:top style="thin">
        <x:color rgb="FFCDD7DC"/>
      </x:top>
      <x:bottom style="thin">
        <x:color rgb="FFCDD7DC"/>
      </x:bottom>
    </x:border>
    <x:border>
      <x:left style="thin">
        <x:color rgb="FFC8D5DC"/>
      </x:left>
      <x:right style="thin">
        <x:color rgb="FFC8D5DC"/>
      </x:right>
      <x:top style="thin">
        <x:color rgb="FFC8D5DC"/>
      </x:top>
      <x:bottom style="thin">
        <x:color rgb="FFC8D5DC"/>
      </x:bottom>
    </x:border>
    <x:border>
      <x:left style="thin">
        <x:color rgb="FFC8D5DC"/>
      </x:left>
      <x:top style="thin">
        <x:color rgb="FFC8D5DC"/>
      </x:top>
    </x:border>
    <x:border>
      <x:top style="thin">
        <x:color rgb="FFC8D5DC"/>
      </x:top>
    </x:border>
    <x:border>
      <x:right style="thin">
        <x:color rgb="FFC8D5DC"/>
      </x:right>
      <x:top style="thin">
        <x:color rgb="FFC8D5DC"/>
      </x:top>
    </x:border>
    <x:border>
      <x:left style="thin">
        <x:color rgb="FFC8D5DC"/>
      </x:left>
    </x:border>
    <x:border>
      <x:right style="thin">
        <x:color rgb="FFC8D5DC"/>
      </x:right>
    </x:border>
    <x:border>
      <x:left style="thin">
        <x:color rgb="FFC8D5DC"/>
      </x:left>
      <x:top style="thin">
        <x:color rgb="FFB9C8D0"/>
      </x:top>
      <x:bottom style="thin">
        <x:color rgb="FFB9C8D0"/>
      </x:bottom>
    </x:border>
    <x:border>
      <x:right style="thin">
        <x:color rgb="FFC8D5DC"/>
      </x:right>
      <x:top style="thin">
        <x:color rgb="FFB9C8D0"/>
      </x:top>
      <x:bottom style="thin">
        <x:color rgb="FFB9C8D0"/>
      </x:bottom>
    </x:border>
    <x:border>
      <x:left style="thin">
        <x:color rgb="FFC8D5DC"/>
      </x:left>
      <x:bottom style="thin">
        <x:color rgb="FFC8D5DC"/>
      </x:bottom>
    </x:border>
    <x:border>
      <x:bottom style="thin">
        <x:color rgb="FFC8D5DC"/>
      </x:bottom>
    </x:border>
    <x:border>
      <x:right style="thin">
        <x:color rgb="FFC8D5DC"/>
      </x:right>
      <x:bottom style="thin">
        <x:color rgb="FFC8D5DC"/>
      </x:bottom>
    </x:border>
  </x:borders>
  <x:cellStyleXfs count="1">
    <x:xf numFmtId="0" fontId="0" fillId="0" borderId="0"/>
  </x:cellStyleXfs>
  <x:cellXfs count="1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0" fillId="0" borderId="3" xfId="0" applyNumberFormat="1" applyFont="1" applyFill="1" applyBorder="1"/>
    <x:xf numFmtId="0" fontId="0" fillId="0" borderId="4" xfId="0" applyNumberFormat="1" applyFont="1" applyFill="1" applyBorder="1"/>
    <x:xf numFmtId="200" fontId="0" fillId="0" borderId="4" xfId="0" applyNumberFormat="1" applyFont="1" applyFill="1" applyBorder="1"/>
    <x:xf numFmtId="201" fontId="0" fillId="0" borderId="4" xfId="0" applyNumberFormat="1" applyFont="1" applyFill="1" applyBorder="1"/>
    <x:xf numFmtId="0" fontId="0" fillId="0" borderId="5" xfId="0" applyNumberFormat="1" applyFont="1" applyFill="1" applyBorder="1"/>
    <x:xf numFmtId="0" fontId="4" fillId="5" borderId="6" xfId="0" applyNumberFormat="1" applyFont="1" applyFill="1" applyBorder="1"/>
    <x:xf numFmtId="0" fontId="4" fillId="5" borderId="6" xfId="0" applyNumberFormat="1" applyFont="1" applyFill="1" applyBorder="1" applyAlignment="1">
      <x:alignment wrapText="1"/>
    </x:xf>
    <x:xf numFmtId="0" fontId="4" fillId="5" borderId="6" xfId="0" applyNumberFormat="1" applyFont="1" applyFill="1" applyBorder="1" applyAlignment="1">
      <x:alignment vertical="center" wrapText="1"/>
    </x:xf>
    <x:xf numFmtId="0" fontId="0" fillId="0" borderId="7" xfId="0" applyNumberFormat="1" applyFont="1" applyFill="1" applyBorder="1"/>
    <x:xf numFmtId="0" fontId="0" fillId="0" borderId="7" xfId="0" applyNumberFormat="1" applyFont="1" applyFill="1" applyBorder="1" applyAlignment="1">
      <x:alignment horizontal="center"/>
    </x:xf>
    <x:xf numFmtId="0" fontId="4" fillId="2" borderId="0" xfId="0" applyNumberFormat="1" applyFont="1" applyFill="1" applyBorder="1"/>
    <x:xf numFmtId="0" fontId="4" fillId="2" borderId="1" xfId="0" applyNumberFormat="1" applyFont="1" applyFill="1" applyBorder="1"/>
    <x:xf numFmtId="0" fontId="4" fillId="2" borderId="6" xfId="0" applyNumberFormat="1" applyFont="1" applyFill="1" applyBorder="1"/>
    <x:xf numFmtId="0" fontId="4" fillId="2" borderId="2" xfId="0" applyNumberFormat="1" applyFont="1" applyFill="1" applyBorder="1"/>
    <x:xf numFmtId="0" fontId="4" fillId="2" borderId="1" xfId="0" applyNumberFormat="1" applyFont="1" applyFill="1" applyBorder="1" applyAlignment="1">
      <x:alignment wrapText="1"/>
    </x:xf>
    <x:xf numFmtId="0" fontId="4" fillId="2" borderId="6"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1" xfId="0" applyNumberFormat="1" applyFont="1" applyFill="1" applyBorder="1" applyAlignment="1">
      <x:alignment vertical="center" wrapText="1"/>
    </x:xf>
    <x:xf numFmtId="0" fontId="4" fillId="2" borderId="6"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3" borderId="0" xfId="0" applyNumberFormat="1" applyFont="1" applyFill="1" applyBorder="1" applyAlignment="1">
      <x:alignment vertical="top" wrapText="1"/>
    </x:xf>
    <x:xf numFmtId="0" fontId="3" fillId="7" borderId="0" xfId="0" applyNumberFormat="1" applyFont="1" applyFill="1" applyBorder="1"/>
    <x:xf numFmtId="0" fontId="9" fillId="7" borderId="0" xfId="0" applyNumberFormat="1" applyFont="1" applyFill="1" applyBorder="1"/>
    <x:xf numFmtId="200" fontId="0" fillId="0" borderId="5" xfId="0" applyNumberFormat="1" applyFont="1" applyFill="1" applyBorder="1"/>
    <x:xf numFmtId="0" fontId="4" fillId="8" borderId="1" xfId="0" applyNumberFormat="1" applyFont="1" applyFill="1" applyBorder="1" applyAlignment="1">
      <x:alignment vertical="center" wrapText="1"/>
    </x:xf>
    <x:xf numFmtId="0" fontId="4" fillId="8" borderId="6" xfId="0" applyNumberFormat="1" applyFont="1" applyFill="1" applyBorder="1" applyAlignment="1">
      <x:alignment vertical="center" wrapText="1"/>
    </x:xf>
    <x:xf numFmtId="0" fontId="4" fillId="8" borderId="2" xfId="0" applyNumberFormat="1" applyFont="1" applyFill="1" applyBorder="1" applyAlignment="1">
      <x:alignment vertical="center" wrapText="1"/>
    </x:xf>
    <x:xf numFmtId="0" fontId="5" fillId="9" borderId="0" xfId="0" applyNumberFormat="1" applyFont="1" applyFill="1" applyBorder="1" applyAlignment="1">
      <x:alignment vertical="top" wrapText="1"/>
    </x:xf>
    <x:xf numFmtId="0" fontId="5" fillId="9" borderId="0" xfId="0" applyNumberFormat="1" applyFont="1" applyFill="1" applyBorder="1" applyAlignment="1">
      <x:alignment vertical="center" wrapText="1"/>
    </x:xf>
    <x:xf numFmtId="0" fontId="0" fillId="8" borderId="0" xfId="0" applyNumberFormat="1" applyFont="1" applyFill="1" applyBorder="1"/>
    <x:xf numFmtId="0" fontId="4" fillId="8" borderId="0" xfId="0" applyNumberFormat="1" applyFont="1" applyFill="1" applyBorder="1"/>
    <x:xf numFmtId="0" fontId="4" fillId="8" borderId="8" xfId="0" applyNumberFormat="1" applyFont="1" applyFill="1" applyBorder="1"/>
    <x:xf numFmtId="0" fontId="4" fillId="8" borderId="8" xfId="0" applyNumberFormat="1" applyFont="1" applyFill="1" applyBorder="1" applyAlignment="1">
      <x:alignment wrapText="1"/>
    </x:xf>
    <x:xf numFmtId="0" fontId="4" fillId="8" borderId="8" xfId="0" applyNumberFormat="1" applyFont="1" applyFill="1" applyBorder="1" applyAlignment="1">
      <x:alignment vertical="center" wrapText="1"/>
    </x:xf>
    <x:xf numFmtId="0" fontId="0" fillId="0"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10" fillId="7" borderId="0" xfId="0" applyNumberFormat="1" applyFont="1" applyFill="1" applyBorder="1" applyAlignment="1">
      <x:alignment vertical="top" wrapText="1"/>
    </x:xf>
    <x:xf numFmtId="0" fontId="2" fillId="10" borderId="0" xfId="0" applyNumberFormat="1" applyFont="1" applyFill="1" applyBorder="1" applyAlignment="1">
      <x:alignment wrapText="1"/>
    </x:xf>
    <x:xf numFmtId="0" fontId="0" fillId="10" borderId="0" xfId="0" applyNumberFormat="1" applyFont="1" applyFill="1" applyBorder="1"/>
    <x:xf numFmtId="0" fontId="4" fillId="10" borderId="1" xfId="0" applyNumberFormat="1" applyFont="1" applyFill="1" applyBorder="1" applyAlignment="1">
      <x:alignment vertical="center" wrapText="1"/>
    </x:xf>
    <x:xf numFmtId="0" fontId="0" fillId="10" borderId="0" xfId="0" applyNumberFormat="1" applyFont="1" applyFill="1" applyBorder="1" applyAlignment="1">
      <x:alignment vertical="top" wrapText="1"/>
    </x:xf>
    <x:xf numFmtId="0" fontId="11" fillId="10" borderId="0" xfId="0" applyNumberFormat="1" applyFont="1" applyFill="1" applyBorder="1" applyAlignment="1">
      <x:alignment wrapText="1"/>
    </x:xf>
    <x:xf numFmtId="0" fontId="11" fillId="10" borderId="0" xfId="0" applyNumberFormat="1" applyFont="1" applyFill="1" applyBorder="1"/>
    <x:xf numFmtId="0" fontId="11" fillId="10" borderId="1" xfId="0" applyNumberFormat="1" applyFont="1" applyFill="1" applyBorder="1" applyAlignment="1">
      <x:alignment vertical="center" wrapText="1"/>
    </x:xf>
    <x:xf numFmtId="0" fontId="11" fillId="10" borderId="0" xfId="0" applyNumberFormat="1" applyFont="1" applyFill="1" applyBorder="1" applyAlignment="1">
      <x:alignment vertical="top" wrapText="1"/>
    </x:xf>
    <x:xf numFmtId="0" fontId="11" fillId="10" borderId="0" xfId="0" applyNumberFormat="1" applyFont="1" applyFill="1" applyBorder="1" applyAlignment="1">
      <x:alignment vertical="center" wrapText="1"/>
    </x:xf>
    <x:xf numFmtId="0" fontId="6" fillId="0" borderId="9" xfId="0" applyNumberFormat="1" applyFont="1" applyFill="1" applyBorder="1" applyAlignment="1">
      <x:alignment vertical="top"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xfId="0" applyNumberFormat="1" applyFont="1" applyFill="1" applyBorder="0"/>
    <x:xf numFmtId="0" fontId="0" fillId="0" borderId="13" xfId="0" applyNumberFormat="1" applyFont="1" applyFill="1" applyBorder="1"/>
    <x:xf numFmtId="0" fontId="4" fillId="2" borderId="14" xfId="0" applyNumberFormat="1" applyFont="1" applyFill="1" applyBorder="1" applyAlignment="1">
      <x:alignment vertical="center" wrapText="1"/>
    </x:xf>
    <x:xf numFmtId="0" fontId="4" fillId="2" borderId="15" xfId="0" applyNumberFormat="1" applyFont="1" applyFill="1" applyBorder="1" applyAlignment="1">
      <x:alignment vertical="center" wrapText="1"/>
    </x:xf>
    <x:xf numFmtId="0" fontId="0" fillId="6" borderId="16"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0" fillId="6" borderId="18" xfId="0" applyNumberFormat="1" applyFont="1" applyFill="1" applyBorder="1" applyAlignment="1">
      <x:alignment vertical="top"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xfId="0" applyNumberFormat="1" applyFont="1" applyFill="1" applyBorder="0" applyAlignment="1">
      <x:alignment wrapText="1"/>
    </x:xf>
    <x:xf numFmtId="0" fontId="0" fillId="0" borderId="13" xfId="0" applyNumberFormat="1" applyFont="1" applyFill="1" applyBorder="1" applyAlignment="1">
      <x:alignment wrapText="1"/>
    </x:xf>
    <x:xf numFmtId="0" fontId="6"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xfId="0" applyNumberFormat="1" applyFont="1" applyFill="1" applyBorder="0" applyAlignment="1">
      <x:alignment vertical="center" wrapText="1"/>
    </x:xf>
    <x:xf numFmtId="0" fontId="0" fillId="0" borderId="13" xfId="0" applyNumberFormat="1" applyFont="1" applyFill="1" applyBorder="1" applyAlignment="1">
      <x:alignment vertical="center" wrapText="1"/>
    </x:xf>
    <x:xf numFmtId="0" fontId="0" fillId="6" borderId="16" xfId="0" applyNumberFormat="1" applyFont="1" applyFill="1" applyBorder="1" applyAlignment="1">
      <x:alignment vertical="center" wrapText="1"/>
    </x:xf>
    <x:xf numFmtId="0" fontId="0" fillId="6" borderId="17" xfId="0" applyNumberFormat="1" applyFont="1" applyFill="1" applyBorder="1" applyAlignment="1">
      <x:alignment vertical="center" wrapText="1"/>
    </x:xf>
    <x:xf numFmtId="0" fontId="0" fillId="6" borderId="18" xfId="0" applyNumberFormat="1" applyFont="1" applyFill="1" applyBorder="1" applyAlignment="1">
      <x:alignment vertical="center" wrapText="1"/>
    </x:xf>
    <x:xf numFmtId="0" fontId="0"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center" wrapText="1"/>
    </x:xf>
    <x:xf numFmtId="0" fontId="0" fillId="7" borderId="0" xfId="0" applyNumberFormat="1" applyFont="1" applyFill="1" applyBorder="1"/>
    <x:xf numFmtId="0" fontId="12" fillId="7" borderId="0" xfId="0" applyNumberFormat="1" applyFont="1" applyFill="1" applyBorder="1"/>
    <x:xf numFmtId="0" fontId="12"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a244cd78e04a7c" /><Relationship Type="http://schemas.openxmlformats.org/officeDocument/2006/relationships/theme" Target="/xl/theme/theme1.xml" Id="Rda4389bd9258479f" /><Relationship Type="http://schemas.microsoft.com/office/2022/11/relationships/FeaturePropertyBag" Target="/xl/featurePropertyBag/featurePropertyBag.xml" Id="R468ce6b562924f1c" /><Relationship Type="http://schemas.openxmlformats.org/officeDocument/2006/relationships/sharedStrings" Target="/xl/sharedStrings.xml" Id="R5a54d56ceb264320" /><Relationship Type="http://schemas.openxmlformats.org/officeDocument/2006/relationships/worksheet" Target="/xl/worksheets/sheet1.xml" Id="R9ca6cefca2394b29" /><Relationship Type="http://schemas.openxmlformats.org/officeDocument/2006/relationships/worksheet" Target="/xl/worksheets/sheet2.xml" Id="R24ee5eb697e142f5" /><Relationship Type="http://schemas.openxmlformats.org/officeDocument/2006/relationships/worksheet" Target="/xl/worksheets/sheet3.xml" Id="R55b8653f4d8d4e34" /><Relationship Type="http://schemas.openxmlformats.org/officeDocument/2006/relationships/worksheet" Target="/xl/worksheets/sheet4.xml" Id="R1b3cbe0fb2b1432f" /><Relationship Type="http://schemas.openxmlformats.org/officeDocument/2006/relationships/worksheet" Target="/xl/worksheets/sheet5.xml" Id="R5783e721905c41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29" hidden="0" customWidth="1"/>
    <x:col min="3" max="3" width="18" hidden="0" customWidth="1"/>
    <x:col min="4" max="4" width="25" hidden="0" customWidth="1"/>
    <x:col min="5" max="5" width="19" hidden="0" customWidth="1"/>
    <x:col min="6" max="6" width="19" hidden="0" customWidth="1"/>
    <x:col min="7" max="7" width="19" hidden="0" customWidth="1"/>
    <x:col min="8" max="8" width="18" hidden="0" customWidth="1"/>
  </x:cols>
  <x:sheetData>
    <x:row r="1" ht="19.200000762939453" hidden="0" customHeight="1">
      <x:c r="A1" s="3" t="str">
        <x:v>PurrStone v10.2 — resolved UCR Phase 2 audit</x:v>
      </x:c>
      <x:c r="B1" s="3"/>
      <x:c r="C1" s="3"/>
      <x:c r="D1" s="3"/>
      <x:c r="E1" s="3"/>
      <x:c r="F1" s="3"/>
      <x:c r="G1" s="3"/>
      <x:c r="H1" s="3"/>
    </x:row>
    <x:row r="2"/>
    <x:row r="3" ht="15" hidden="0" customHeight="1">
      <x:c r="A3" s="6" t="str">
        <x:v>Current status</x:v>
      </x:c>
      <x:c r="B3" s="58" t="str">
        <x:v>RESOLVED — SF-008-P02 = unsupported</x:v>
      </x:c>
    </x:row>
    <x:row r="4"/>
    <x:row r="5" ht="15" hidden="0" customHeight="1">
      <x:c r="A5" s="15" t="str">
        <x:v>Primary nominal analysis</x:v>
      </x:c>
      <x:c r="B5" s="16" t="str">
        <x:v>Observed</x:v>
      </x:c>
      <x:c r="D5" s="15" t="str">
        <x:v>Initial 2×2 table</x:v>
      </x:c>
      <x:c r="E5" s="26" t="str">
        <x:v>Coder02 supported</x:v>
      </x:c>
      <x:c r="F5" s="26" t="str">
        <x:v>Coder02 unsupported</x:v>
      </x:c>
      <x:c r="G5" s="16" t="str">
        <x:v>Total</x:v>
      </x:c>
    </x:row>
    <x:row r="6" ht="15" hidden="0" customHeight="1">
      <x:c r="A6" s="6" t="str">
        <x:v>Frozen proposition rows</x:v>
      </x:c>
      <x:c r="B6" s="19" t="n">
        <x:f>COUNTA('Paired Coding'!$A$5:$A$50)</x:f>
        <x:v>46</x:v>
      </x:c>
      <x:c r="D6" s="6" t="str">
        <x:v>Coder01 supported</x:v>
      </x:c>
      <x:c r="E6" s="28" t="n">
        <x:f>COUNTIFS('Paired Coding'!$D$5:$D$50,"supported",'Paired Coding'!$H$5:$H$50,"supported")</x:f>
        <x:v>43</x:v>
      </x:c>
      <x:c r="F6" s="28" t="n">
        <x:f>COUNTIFS('Paired Coding'!$D$5:$D$50,"supported",'Paired Coding'!$H$5:$H$50,"unsupported")</x:f>
        <x:v>0</x:v>
      </x:c>
      <x:c r="G6" s="28" t="n">
        <x:f>SUM(E6:F6)</x:f>
        <x:v>43</x:v>
      </x:c>
    </x:row>
    <x:row r="7" ht="15" hidden="0" customHeight="1">
      <x:c r="A7" s="6" t="str">
        <x:v>Exact agreements</x:v>
      </x:c>
      <x:c r="B7" s="20" t="n">
        <x:f>COUNTIF('Paired Coding'!$L$5:$L$50,"AGREE")</x:f>
        <x:v>45</x:v>
      </x:c>
      <x:c r="D7" s="6" t="str">
        <x:v>Coder01 unsupported</x:v>
      </x:c>
      <x:c r="E7" s="28" t="n">
        <x:f>COUNTIFS('Paired Coding'!$D$5:$D$50,"unsupported",'Paired Coding'!$H$5:$H$50,"supported")</x:f>
        <x:v>1</x:v>
      </x:c>
      <x:c r="F7" s="28" t="n">
        <x:f>COUNTIFS('Paired Coding'!$D$5:$D$50,"unsupported",'Paired Coding'!$H$5:$H$50,"unsupported")</x:f>
        <x:v>2</x:v>
      </x:c>
      <x:c r="G7" s="28" t="n">
        <x:f>SUM(E7:F7)</x:f>
        <x:v>3</x:v>
      </x:c>
    </x:row>
    <x:row r="8" ht="15" hidden="0" customHeight="1">
      <x:c r="A8" s="6" t="str">
        <x:v>Exact agreement rate</x:v>
      </x:c>
      <x:c r="B8" s="21" t="n">
        <x:f>B7/B6</x:f>
        <x:v>0.9782608695652174</x:v>
      </x:c>
      <x:c r="D8" s="6" t="str">
        <x:v>Total</x:v>
      </x:c>
      <x:c r="E8" s="28" t="n">
        <x:f>SUM(E6:E7)</x:f>
        <x:v>44</x:v>
      </x:c>
      <x:c r="F8" s="28" t="n">
        <x:f>SUM(F6:F7)</x:f>
        <x:v>2</x:v>
      </x:c>
      <x:c r="G8" s="28" t="n">
        <x:f>SUM(G6:G7)</x:f>
        <x:v>46</x:v>
      </x:c>
    </x:row>
    <x:row r="9" ht="15" hidden="0" customHeight="1">
      <x:c r="A9" s="6" t="str">
        <x:v>Cohen's κ</x:v>
      </x:c>
      <x:c r="B9" s="21" t="n">
        <x:f>(B8-B10)/(1-B10)</x:f>
        <x:v>0.7889908256880735</x:v>
      </x:c>
    </x:row>
    <x:row r="10" ht="15" hidden="0" customHeight="1">
      <x:c r="A10" s="6" t="str">
        <x:v>Chance agreement</x:v>
      </x:c>
      <x:c r="B10" s="21" t="n">
        <x:f>((G6*E8)+(G7*F8))/(B6*B6)</x:f>
        <x:v>0.8969754253308129</x:v>
      </x:c>
      <x:c r="D10" s="15" t="str">
        <x:v>Unique-text sensitivity</x:v>
      </x:c>
      <x:c r="E10" s="16" t="str">
        <x:v>Observed</x:v>
      </x:c>
    </x:row>
    <x:row r="11" ht="15" hidden="0" customHeight="1">
      <x:c r="A11" s="6" t="str">
        <x:v>Coder01 UCR</x:v>
      </x:c>
      <x:c r="B11" s="21" t="n">
        <x:f>COUNTIF('Paired Coding'!$D$5:$D$50,"unsupported")/B6</x:f>
        <x:v>0.06521739130434782</x:v>
      </x:c>
      <x:c r="D11" s="6" t="str">
        <x:v>Unique proposition texts</x:v>
      </x:c>
      <x:c r="E11" t="n">
        <x:f>COUNTA('Unique Text'!$A$5:$A$31)</x:f>
        <x:v>27</x:v>
      </x:c>
    </x:row>
    <x:row r="12" ht="15" hidden="0" customHeight="1">
      <x:c r="A12" s="6" t="str">
        <x:v>Coder02 UCR</x:v>
      </x:c>
      <x:c r="B12" s="21" t="n">
        <x:f>COUNTIF('Paired Coding'!$H$5:$H$50,"unsupported")/B6</x:f>
        <x:v>0.043478260869565216</x:v>
      </x:c>
      <x:c r="D12" s="6" t="str">
        <x:v>Unique-text agreements</x:v>
      </x:c>
      <x:c r="E12" t="n">
        <x:f>COUNTIF('Unique Text'!$G$5:$G$31,"AGREE")</x:f>
        <x:v>26</x:v>
      </x:c>
    </x:row>
    <x:row r="13" ht="15" hidden="0" customHeight="1">
      <x:c r="A13" s="6" t="str">
        <x:v>Disagreements</x:v>
      </x:c>
      <x:c r="B13" s="20" t="n">
        <x:f>B6-B7</x:f>
        <x:v>1</x:v>
      </x:c>
      <x:c r="D13" s="6" t="str">
        <x:v>Unique-text agreement rate</x:v>
      </x:c>
      <x:c r="E13" s="17" t="n">
        <x:f>E12/E11</x:f>
        <x:v>0.9629629629629629</x:v>
      </x:c>
    </x:row>
    <x:row r="14" ht="15" hidden="0" customHeight="1">
      <x:c r="A14" s="6" t="str">
        <x:v>Final resolved UCR</x:v>
      </x:c>
      <x:c r="B14" s="21" t="n">
        <x:f>COUNTIF('Paired Coding'!$M$5:$M$50,"unsupported")/B6</x:f>
        <x:v>0.06521739130434782</x:v>
      </x:c>
      <x:c r="D14" s="6" t="str">
        <x:v>Final unique-text UCR</x:v>
      </x:c>
      <x:c r="E14" s="17" t="n">
        <x:f>COUNTIF('Unique Text'!$H$5:$H$31,"unsupported")/E11</x:f>
        <x:v>0.1111111111111111</x:v>
      </x:c>
    </x:row>
    <x:row r="15" ht="26.399999618530273" hidden="0" customHeight="1">
      <x:c r="A15" s="6" t="str">
        <x:v>Final supported rate</x:v>
      </x:c>
      <x:c r="B15" s="59" t="n">
        <x:f>COUNTIF('Paired Coding'!$M$5:$M$50,"supported")/B6</x:f>
        <x:v>0.9347826086956522</x:v>
      </x:c>
      <x:c r="D15" t="str">
        <x:v>Final unique-text supported rate</x:v>
      </x:c>
      <x:c r="E15" s="17" t="n">
        <x:f>COUNTIF('Unique Text'!$H$5:$H$31,"supported")/E11</x:f>
        <x:v>0.8888888888888888</x:v>
      </x:c>
    </x:row>
    <x:row r="16"/>
    <x:row r="17" ht="15" hidden="0" customHeight="1">
      <x:c r="A17" s="60" t="str">
        <x:v>Interpretation boundary</x:v>
      </x:c>
      <x:c r="B17" s="61"/>
      <x:c r="C17" s="61"/>
      <x:c r="D17" s="61"/>
      <x:c r="E17" s="61"/>
      <x:c r="F17" s="61"/>
      <x:c r="G17" s="61"/>
      <x:c r="H17" s="62"/>
    </x:row>
    <x:row r="18">
      <x:c r="A18" s="64" t="str">
        <x:v>The resolved UCR is a supplementary within-MVP estimate for nine reviewed evidence items. The 46 nominal proposition instances contain 27 unique proposition texts. No Baseline item entered this analysis because the corresponding Baseline S7/S8 runs did not complete. Initial inter-coder agreement remains 45/46 (97.8%); the resolved single disagreement must not be reported as post-resolution 100% independent agreement.</x:v>
      </x:c>
      <x:c r="B18" s="64"/>
      <x:c r="C18" s="64"/>
      <x:c r="D18" s="64"/>
      <x:c r="E18" s="64"/>
      <x:c r="F18" s="64"/>
      <x:c r="G18" s="64"/>
      <x:c r="H18" s="64"/>
    </x:row>
    <x:row r="19">
      <x:c r="A19" s="64"/>
      <x:c r="B19" s="64"/>
      <x:c r="C19" s="64"/>
      <x:c r="D19" s="64"/>
      <x:c r="E19" s="64"/>
      <x:c r="F19" s="64"/>
      <x:c r="G19" s="64"/>
      <x:c r="H19" s="64"/>
    </x:row>
    <x:row r="20">
      <x:c r="A20" s="42"/>
      <x:c r="B20" s="42"/>
      <x:c r="C20" s="42"/>
      <x:c r="D20" s="42"/>
      <x:c r="E20" s="42"/>
      <x:c r="F20" s="42"/>
      <x:c r="G20" s="42"/>
      <x:c r="H20" s="42"/>
    </x:row>
    <x:row r="21">
      <x:c r="A21" s="42"/>
      <x:c r="B21" s="42"/>
      <x:c r="C21" s="42"/>
      <x:c r="D21" s="42"/>
      <x:c r="E21" s="42"/>
      <x:c r="F21" s="42"/>
      <x:c r="G21" s="42"/>
      <x:c r="H21" s="42"/>
    </x:row>
    <x:row r="22">
      <x:c r="A22" s="42"/>
      <x:c r="B22" s="42"/>
      <x:c r="C22" s="42"/>
      <x:c r="D22" s="42"/>
      <x:c r="E22" s="42"/>
      <x:c r="F22" s="42"/>
      <x:c r="G22" s="42"/>
      <x:c r="H22" s="42"/>
    </x:row>
  </x:sheetData>
  <x:mergeCells>
    <x:mergeCell ref="A1:H1"/>
    <x:mergeCell ref="A17:H17"/>
    <x:mergeCell ref="A18: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1" hidden="0" customWidth="1"/>
    <x:col min="3" max="3" width="43" hidden="0" customWidth="1"/>
    <x:col min="4" max="4" width="13" hidden="0" customWidth="1"/>
    <x:col min="5" max="5" width="50" hidden="0" customWidth="1"/>
    <x:col min="6" max="6" width="9" hidden="0" customWidth="1"/>
    <x:col min="7" max="7" width="25" hidden="0" customWidth="1"/>
    <x:col min="8" max="8" width="13" hidden="0" customWidth="1"/>
    <x:col min="9" max="9" width="50" hidden="0" customWidth="1"/>
    <x:col min="10" max="10" width="9" hidden="0" customWidth="1"/>
    <x:col min="11" max="11" width="25" hidden="0" customWidth="1"/>
    <x:col min="12" max="12" width="13" hidden="0" customWidth="1"/>
    <x:col min="13" max="13" width="18" hidden="0" customWidth="1"/>
    <x:col min="14" max="14" width="25" hidden="0" customWidth="1"/>
  </x:cols>
  <x:sheetData>
    <x:row r="1" ht="19.200000762939453" hidden="0" customHeight="1">
      <x:c r="A1" s="3" t="str">
        <x:v>Locked independent Phase 2 coding — paired by frozen proposition ID</x:v>
      </x:c>
      <x:c r="B1" s="3"/>
      <x:c r="C1" s="3"/>
      <x:c r="D1" s="3"/>
      <x:c r="E1" s="3"/>
      <x:c r="F1" s="3"/>
      <x:c r="G1" s="3"/>
      <x:c r="H1" s="3"/>
      <x:c r="I1" s="3"/>
      <x:c r="J1" s="3"/>
      <x:c r="K1" s="3"/>
      <x:c r="L1" s="3"/>
    </x:row>
    <x:row r="2" ht="15" hidden="0" customHeight="1">
      <x:c r="A2" t="str">
        <x:v>Original coder entries are reproduced without alteration. Agreement is computed from the two independent labels.</x:v>
      </x:c>
    </x:row>
    <x:row r="3"/>
    <x:row r="4" ht="15" hidden="0" customHeight="1">
      <x:c r="A4" s="36" t="str">
        <x:v>Proposition ID</x:v>
      </x:c>
      <x:c r="B4" s="37" t="str">
        <x:v>Blind item</x:v>
      </x:c>
      <x:c r="C4" s="37" t="str">
        <x:v>Frozen proposition</x:v>
      </x:c>
      <x:c r="D4" s="37" t="str">
        <x:v>Coder01 label</x:v>
      </x:c>
      <x:c r="E4" s="37" t="str">
        <x:v>Coder01 rationale</x:v>
      </x:c>
      <x:c r="F4" s="37" t="str">
        <x:v>C1 conf.</x:v>
      </x:c>
      <x:c r="G4" s="37" t="str">
        <x:v>C1 completed</x:v>
      </x:c>
      <x:c r="H4" s="37" t="str">
        <x:v>Coder02 label</x:v>
      </x:c>
      <x:c r="I4" s="37" t="str">
        <x:v>Coder02 rationale</x:v>
      </x:c>
      <x:c r="J4" s="37" t="str">
        <x:v>C2 conf.</x:v>
      </x:c>
      <x:c r="K4" s="37" t="str">
        <x:v>C2 completed</x:v>
      </x:c>
      <x:c r="L4" s="38" t="str">
        <x:v>Agreement</x:v>
      </x:c>
      <x:c r="M4" s="69" t="str">
        <x:v>Final label</x:v>
      </x:c>
      <x:c r="N4" s="69" t="str">
        <x:v>Final-label basis</x:v>
      </x:c>
    </x:row>
    <x:row r="5" ht="24" hidden="0" customHeight="1">
      <x:c r="A5" s="45" t="str">
        <x:v>SF-001-P01</x:v>
      </x:c>
      <x:c r="B5" s="45" t="str">
        <x:v>SF-001</x:v>
      </x:c>
      <x:c r="C5" s="45" t="str">
        <x:v>Sharp braking noise was one of the participant's strongest triggers.</x:v>
      </x:c>
      <x:c r="D5" s="46" t="str">
        <x:v>supported</x:v>
      </x:c>
      <x:c r="E5" s="45" t="str">
        <x:v>The participant explicitly names sharp braking noise as one of the strongest triggers.</x:v>
      </x:c>
      <x:c r="F5" s="45" t="n">
        <x:v>3</x:v>
      </x:c>
      <x:c r="G5" s="45" t="str">
        <x:v>2026-08-09T18:48:15+0800</x:v>
      </x:c>
      <x:c r="H5" s="46" t="str">
        <x:v>supported</x:v>
      </x:c>
      <x:c r="I5" s="45" t="str">
        <x:v>Trigger list includes sharp braking noise at the stated strength.</x:v>
      </x:c>
      <x:c r="J5" s="45" t="n">
        <x:v>3</x:v>
      </x:c>
      <x:c r="K5" s="45" t="str">
        <x:v>2026-08-09T20:12:26+0800</x:v>
      </x:c>
      <x:c r="L5" s="47" t="str">
        <x:f>IF(D5=H5,"AGREE","DISAGREE")</x:f>
        <x:v>AGREE</x:v>
      </x:c>
      <x:c r="M5" s="70" t="str">
        <x:f>IF(L5="AGREE",D5,IF(A5="SF-008-P02","unsupported",""))</x:f>
        <x:v>supported</x:v>
      </x:c>
      <x:c r="N5" s="70" t="str">
        <x:f>IF(L5="AGREE","independent agreement","joint resolution 2026-08-10")</x:f>
        <x:v>independent agreement</x:v>
      </x:c>
    </x:row>
    <x:row r="6" ht="24" hidden="0" customHeight="1">
      <x:c r="A6" s="45" t="str">
        <x:v>SF-001-P02</x:v>
      </x:c>
      <x:c r="B6" s="45" t="str">
        <x:v>SF-001</x:v>
      </x:c>
      <x:c r="C6" s="45" t="str">
        <x:v>Flashing carriage lights were one of the participant's strongest triggers.</x:v>
      </x:c>
      <x:c r="D6" s="46" t="str">
        <x:v>supported</x:v>
      </x:c>
      <x:c r="E6" s="45" t="str">
        <x:v>Flashing carriage lights are explicitly included in the participant's list of strongest triggers.</x:v>
      </x:c>
      <x:c r="F6" s="45" t="n">
        <x:v>3</x:v>
      </x:c>
      <x:c r="G6" s="45" t="str">
        <x:v>2026-08-09T18:49:29+0800</x:v>
      </x:c>
      <x:c r="H6" s="46" t="str">
        <x:v>supported</x:v>
      </x:c>
      <x:c r="I6" s="45" t="str">
        <x:v>Trigger list includes flashing carriage lights at the stated strength.</x:v>
      </x:c>
      <x:c r="J6" s="45" t="n">
        <x:v>3</x:v>
      </x:c>
      <x:c r="K6" s="45" t="str">
        <x:v>2026-08-09T20:13:21+0800</x:v>
      </x:c>
      <x:c r="L6" s="47" t="str">
        <x:f>IF(D6=H6,"AGREE","DISAGREE")</x:f>
        <x:v>AGREE</x:v>
      </x:c>
      <x:c r="M6" s="70" t="str">
        <x:f>IF(L6="AGREE",D6,IF(A6="SF-008-P02","unsupported",""))</x:f>
        <x:v>supported</x:v>
      </x:c>
      <x:c r="N6" s="70" t="str">
        <x:f>IF(L6="AGREE","independent agreement","joint resolution 2026-08-10")</x:f>
        <x:v>independent agreement</x:v>
      </x:c>
    </x:row>
    <x:row r="7" ht="15" hidden="0" customHeight="1">
      <x:c r="A7" s="45" t="str">
        <x:v>SF-001-P03</x:v>
      </x:c>
      <x:c r="B7" s="45" t="str">
        <x:v>SF-001</x:v>
      </x:c>
      <x:c r="C7" s="45" t="str">
        <x:v>Crowding was one of the participant's strongest triggers.</x:v>
      </x:c>
      <x:c r="D7" s="46" t="str">
        <x:v>supported</x:v>
      </x:c>
      <x:c r="E7" s="45" t="str">
        <x:v>Crowding is directly listed alongside the other strongest triggers.</x:v>
      </x:c>
      <x:c r="F7" s="45" t="n">
        <x:v>3</x:v>
      </x:c>
      <x:c r="G7" s="45" t="str">
        <x:v>2026-08-09T18:50:54+0800</x:v>
      </x:c>
      <x:c r="H7" s="46" t="str">
        <x:v>supported</x:v>
      </x:c>
      <x:c r="I7" s="45" t="str">
        <x:v>Trigger list includes crowding at the stated strength.</x:v>
      </x:c>
      <x:c r="J7" s="45" t="n">
        <x:v>3</x:v>
      </x:c>
      <x:c r="K7" s="45" t="str">
        <x:v>2026-08-09T20:14:23+0800</x:v>
      </x:c>
      <x:c r="L7" s="47" t="str">
        <x:f>IF(D7=H7,"AGREE","DISAGREE")</x:f>
        <x:v>AGREE</x:v>
      </x:c>
      <x:c r="M7" s="70" t="str">
        <x:f>IF(L7="AGREE",D7,IF(A7="SF-008-P02","unsupported",""))</x:f>
        <x:v>supported</x:v>
      </x:c>
      <x:c r="N7" s="70" t="str">
        <x:f>IF(L7="AGREE","independent agreement","joint resolution 2026-08-10")</x:f>
        <x:v>independent agreement</x:v>
      </x:c>
    </x:row>
    <x:row r="8" ht="15" hidden="0" customHeight="1">
      <x:c r="A8" s="45" t="str">
        <x:v>SF-001-P04</x:v>
      </x:c>
      <x:c r="B8" s="45" t="str">
        <x:v>SF-001</x:v>
      </x:c>
      <x:c r="C8" s="45" t="str">
        <x:v>The participant's shoulders tightened.</x:v>
      </x:c>
      <x:c r="D8" s="46" t="str">
        <x:v>supported</x:v>
      </x:c>
      <x:c r="E8" s="45" t="str">
        <x:v>The source directly states that the participant's shoulders tightened.</x:v>
      </x:c>
      <x:c r="F8" s="45" t="n">
        <x:v>3</x:v>
      </x:c>
      <x:c r="G8" s="45" t="str">
        <x:v>2026-08-09T18:52:01+0800</x:v>
      </x:c>
      <x:c r="H8" s="46" t="str">
        <x:v>supported</x:v>
      </x:c>
      <x:c r="I8" s="45" t="str">
        <x:v>Explicit evidence: “My shoulders tightened.”</x:v>
      </x:c>
      <x:c r="J8" s="45" t="n">
        <x:v>3</x:v>
      </x:c>
      <x:c r="K8" s="45" t="str">
        <x:v>2026-08-09T20:15:32+0800</x:v>
      </x:c>
      <x:c r="L8" s="47" t="str">
        <x:f>IF(D8=H8,"AGREE","DISAGREE")</x:f>
        <x:v>AGREE</x:v>
      </x:c>
      <x:c r="M8" s="70" t="str">
        <x:f>IF(L8="AGREE",D8,IF(A8="SF-008-P02","unsupported",""))</x:f>
        <x:v>supported</x:v>
      </x:c>
      <x:c r="N8" s="70" t="str">
        <x:f>IF(L8="AGREE","independent agreement","joint resolution 2026-08-10")</x:f>
        <x:v>independent agreement</x:v>
      </x:c>
    </x:row>
    <x:row r="9" ht="15" hidden="0" customHeight="1">
      <x:c r="A9" s="45" t="str">
        <x:v>SF-001-P05</x:v>
      </x:c>
      <x:c r="B9" s="45" t="str">
        <x:v>SF-001</x:v>
      </x:c>
      <x:c r="C9" s="45" t="str">
        <x:v>The participant's heart raced.</x:v>
      </x:c>
      <x:c r="D9" s="46" t="str">
        <x:v>supported</x:v>
      </x:c>
      <x:c r="E9" s="45" t="str">
        <x:v>The participant directly reports that their heart raced.</x:v>
      </x:c>
      <x:c r="F9" s="45" t="n">
        <x:v>3</x:v>
      </x:c>
      <x:c r="G9" s="45" t="str">
        <x:v>2026-08-09T18:53:19+0800</x:v>
      </x:c>
      <x:c r="H9" s="46" t="str">
        <x:v>supported</x:v>
      </x:c>
      <x:c r="I9" s="45" t="str">
        <x:v>Explicit evidence: “my heart raced.”</x:v>
      </x:c>
      <x:c r="J9" s="45" t="n">
        <x:v>3</x:v>
      </x:c>
      <x:c r="K9" s="45" t="str">
        <x:v>2026-08-09T20:16:24+0800</x:v>
      </x:c>
      <x:c r="L9" s="47" t="str">
        <x:f>IF(D9=H9,"AGREE","DISAGREE")</x:f>
        <x:v>AGREE</x:v>
      </x:c>
      <x:c r="M9" s="70" t="str">
        <x:f>IF(L9="AGREE",D9,IF(A9="SF-008-P02","unsupported",""))</x:f>
        <x:v>supported</x:v>
      </x:c>
      <x:c r="N9" s="70" t="str">
        <x:f>IF(L9="AGREE","independent agreement","joint resolution 2026-08-10")</x:f>
        <x:v>independent agreement</x:v>
      </x:c>
    </x:row>
    <x:row r="10" ht="15" hidden="0" customHeight="1">
      <x:c r="A10" s="45" t="str">
        <x:v>SF-001-P06</x:v>
      </x:c>
      <x:c r="B10" s="45" t="str">
        <x:v>SF-001</x:v>
      </x:c>
      <x:c r="C10" s="45" t="str">
        <x:v>The participant felt panicked.</x:v>
      </x:c>
      <x:c r="D10" s="46" t="str">
        <x:v>supported</x:v>
      </x:c>
      <x:c r="E10" s="45" t="str">
        <x:v>The source explicitly says that the participant felt panicked.</x:v>
      </x:c>
      <x:c r="F10" s="45" t="n">
        <x:v>3</x:v>
      </x:c>
      <x:c r="G10" s="45" t="str">
        <x:v>2026-08-09T18:54:48+0800</x:v>
      </x:c>
      <x:c r="H10" s="46" t="str">
        <x:v>supported</x:v>
      </x:c>
      <x:c r="I10" s="45" t="str">
        <x:v>Explicit evidence: “I felt panicked.”</x:v>
      </x:c>
      <x:c r="J10" s="45" t="n">
        <x:v>3</x:v>
      </x:c>
      <x:c r="K10" s="45" t="str">
        <x:v>2026-08-09T20:17:23+0800</x:v>
      </x:c>
      <x:c r="L10" s="47" t="str">
        <x:f>IF(D10=H10,"AGREE","DISAGREE")</x:f>
        <x:v>AGREE</x:v>
      </x:c>
      <x:c r="M10" s="70" t="str">
        <x:f>IF(L10="AGREE",D10,IF(A10="SF-008-P02","unsupported",""))</x:f>
        <x:v>supported</x:v>
      </x:c>
      <x:c r="N10" s="70" t="str">
        <x:f>IF(L10="AGREE","independent agreement","joint resolution 2026-08-10")</x:f>
        <x:v>independent agreement</x:v>
      </x:c>
    </x:row>
    <x:row r="11" ht="15" hidden="0" customHeight="1">
      <x:c r="A11" s="45" t="str">
        <x:v>SF-002-P01</x:v>
      </x:c>
      <x:c r="B11" s="45" t="str">
        <x:v>SF-002</x:v>
      </x:c>
      <x:c r="C11" s="45" t="str">
        <x:v>The participant covered their ears.</x:v>
      </x:c>
      <x:c r="D11" s="46" t="str">
        <x:v>supported</x:v>
      </x:c>
      <x:c r="E11" s="45" t="str">
        <x:v>The participant directly states that they covered their ears.</x:v>
      </x:c>
      <x:c r="F11" s="45" t="n">
        <x:v>3</x:v>
      </x:c>
      <x:c r="G11" s="45" t="str">
        <x:v>2026-08-09T18:55:59+0800</x:v>
      </x:c>
      <x:c r="H11" s="46" t="str">
        <x:v>supported</x:v>
      </x:c>
      <x:c r="I11" s="45" t="str">
        <x:v>Explicit evidence: “I covered my ears.”</x:v>
      </x:c>
      <x:c r="J11" s="45" t="n">
        <x:v>3</x:v>
      </x:c>
      <x:c r="K11" s="45" t="str">
        <x:v>2026-08-09T20:18:29+0800</x:v>
      </x:c>
      <x:c r="L11" s="47" t="str">
        <x:f>IF(D11=H11,"AGREE","DISAGREE")</x:f>
        <x:v>AGREE</x:v>
      </x:c>
      <x:c r="M11" s="70" t="str">
        <x:f>IF(L11="AGREE",D11,IF(A11="SF-008-P02","unsupported",""))</x:f>
        <x:v>supported</x:v>
      </x:c>
      <x:c r="N11" s="70" t="str">
        <x:f>IF(L11="AGREE","independent agreement","joint resolution 2026-08-10")</x:f>
        <x:v>independent agreement</x:v>
      </x:c>
    </x:row>
    <x:row r="12" ht="15" hidden="0" customHeight="1">
      <x:c r="A12" s="45" t="str">
        <x:v>SF-002-P02</x:v>
      </x:c>
      <x:c r="B12" s="45" t="str">
        <x:v>SF-002</x:v>
      </x:c>
      <x:c r="C12" s="45" t="str">
        <x:v>The participant focused on slow breathing.</x:v>
      </x:c>
      <x:c r="D12" s="46" t="str">
        <x:v>supported</x:v>
      </x:c>
      <x:c r="E12" s="45" t="str">
        <x:v>The source directly reports that the participant focused on slow breathing.</x:v>
      </x:c>
      <x:c r="F12" s="45" t="n">
        <x:v>3</x:v>
      </x:c>
      <x:c r="G12" s="45" t="str">
        <x:v>2026-08-09T18:57:21+0800</x:v>
      </x:c>
      <x:c r="H12" s="46" t="str">
        <x:v>supported</x:v>
      </x:c>
      <x:c r="I12" s="45" t="str">
        <x:v>Explicit evidence: “focused on slow breathing.”</x:v>
      </x:c>
      <x:c r="J12" s="45" t="n">
        <x:v>3</x:v>
      </x:c>
      <x:c r="K12" s="45" t="str">
        <x:v>2026-08-09T20:19:18+0800</x:v>
      </x:c>
      <x:c r="L12" s="47" t="str">
        <x:f>IF(D12=H12,"AGREE","DISAGREE")</x:f>
        <x:v>AGREE</x:v>
      </x:c>
      <x:c r="M12" s="70" t="str">
        <x:f>IF(L12="AGREE",D12,IF(A12="SF-008-P02","unsupported",""))</x:f>
        <x:v>supported</x:v>
      </x:c>
      <x:c r="N12" s="70" t="str">
        <x:f>IF(L12="AGREE","independent agreement","joint resolution 2026-08-10")</x:f>
        <x:v>independent agreement</x:v>
      </x:c>
    </x:row>
    <x:row r="13" ht="15" hidden="0" customHeight="1">
      <x:c r="A13" s="45" t="str">
        <x:v>SF-002-P03</x:v>
      </x:c>
      <x:c r="B13" s="45" t="str">
        <x:v>SF-002</x:v>
      </x:c>
      <x:c r="C13" s="45" t="str">
        <x:v>The participant left at the next stop.</x:v>
      </x:c>
      <x:c r="D13" s="46" t="str">
        <x:v>supported</x:v>
      </x:c>
      <x:c r="E13" s="45" t="str">
        <x:v>The participant explicitly says they left at the next stop.</x:v>
      </x:c>
      <x:c r="F13" s="45" t="n">
        <x:v>3</x:v>
      </x:c>
      <x:c r="G13" s="45" t="str">
        <x:v>2026-08-09T18:58:25+0800</x:v>
      </x:c>
      <x:c r="H13" s="46" t="str">
        <x:v>supported</x:v>
      </x:c>
      <x:c r="I13" s="45" t="str">
        <x:v>Explicit evidence: “left at the next stop.”</x:v>
      </x:c>
      <x:c r="J13" s="45" t="n">
        <x:v>3</x:v>
      </x:c>
      <x:c r="K13" s="45" t="str">
        <x:v>2026-08-09T20:20:14+0800</x:v>
      </x:c>
      <x:c r="L13" s="47" t="str">
        <x:f>IF(D13=H13,"AGREE","DISAGREE")</x:f>
        <x:v>AGREE</x:v>
      </x:c>
      <x:c r="M13" s="70" t="str">
        <x:f>IF(L13="AGREE",D13,IF(A13="SF-008-P02","unsupported",""))</x:f>
        <x:v>supported</x:v>
      </x:c>
      <x:c r="N13" s="70" t="str">
        <x:f>IF(L13="AGREE","independent agreement","joint resolution 2026-08-10")</x:f>
        <x:v>independent agreement</x:v>
      </x:c>
    </x:row>
    <x:row r="14" ht="15" hidden="0" customHeight="1">
      <x:c r="A14" s="45" t="str">
        <x:v>SF-002-P04</x:v>
      </x:c>
      <x:c r="B14" s="45" t="str">
        <x:v>SF-002</x:v>
      </x:c>
      <x:c r="C14" s="45" t="str">
        <x:v>A quieter carriage would have helped the participant.</x:v>
      </x:c>
      <x:c r="D14" s="46" t="str">
        <x:v>supported</x:v>
      </x:c>
      <x:c r="E14" s="45" t="str">
        <x:v>The participant states that a quieter carriage would have helped.</x:v>
      </x:c>
      <x:c r="F14" s="45" t="n">
        <x:v>3</x:v>
      </x:c>
      <x:c r="G14" s="45" t="str">
        <x:v>2026-08-09T18:59:40+0800</x:v>
      </x:c>
      <x:c r="H14" s="46" t="str">
        <x:v>supported</x:v>
      </x:c>
      <x:c r="I14" s="45" t="str">
        <x:v>The helpful-change statement includes a quieter carriage.</x:v>
      </x:c>
      <x:c r="J14" s="45" t="n">
        <x:v>3</x:v>
      </x:c>
      <x:c r="K14" s="45" t="str">
        <x:v>2026-08-09T20:21:17+0800</x:v>
      </x:c>
      <x:c r="L14" s="47" t="str">
        <x:f>IF(D14=H14,"AGREE","DISAGREE")</x:f>
        <x:v>AGREE</x:v>
      </x:c>
      <x:c r="M14" s="70" t="str">
        <x:f>IF(L14="AGREE",D14,IF(A14="SF-008-P02","unsupported",""))</x:f>
        <x:v>supported</x:v>
      </x:c>
      <x:c r="N14" s="70" t="str">
        <x:f>IF(L14="AGREE","independent agreement","joint resolution 2026-08-10")</x:f>
        <x:v>independent agreement</x:v>
      </x:c>
    </x:row>
    <x:row r="15" ht="15" hidden="0" customHeight="1">
      <x:c r="A15" s="45" t="str">
        <x:v>SF-002-P05</x:v>
      </x:c>
      <x:c r="B15" s="45" t="str">
        <x:v>SF-002</x:v>
      </x:c>
      <x:c r="C15" s="45" t="str">
        <x:v>A warning before the alarm would have helped the participant.</x:v>
      </x:c>
      <x:c r="D15" s="46" t="str">
        <x:v>supported</x:v>
      </x:c>
      <x:c r="E15" s="45" t="str">
        <x:v>The source says that a warning before the alarm would have helped.</x:v>
      </x:c>
      <x:c r="F15" s="45" t="n">
        <x:v>3</x:v>
      </x:c>
      <x:c r="G15" s="45" t="str">
        <x:v>2026-08-09T19:01:06+0800</x:v>
      </x:c>
      <x:c r="H15" s="46" t="str">
        <x:v>supported</x:v>
      </x:c>
      <x:c r="I15" s="45" t="str">
        <x:v>The helpful-change statement includes advance warning before the alarm.</x:v>
      </x:c>
      <x:c r="J15" s="45" t="n">
        <x:v>3</x:v>
      </x:c>
      <x:c r="K15" s="45" t="str">
        <x:v>2026-08-09T20:22:27+0800</x:v>
      </x:c>
      <x:c r="L15" s="47" t="str">
        <x:f>IF(D15=H15,"AGREE","DISAGREE")</x:f>
        <x:v>AGREE</x:v>
      </x:c>
      <x:c r="M15" s="70" t="str">
        <x:f>IF(L15="AGREE",D15,IF(A15="SF-008-P02","unsupported",""))</x:f>
        <x:v>supported</x:v>
      </x:c>
      <x:c r="N15" s="70" t="str">
        <x:f>IF(L15="AGREE","independent agreement","joint resolution 2026-08-10")</x:f>
        <x:v>independent agreement</x:v>
      </x:c>
    </x:row>
    <x:row r="16" ht="24" hidden="0" customHeight="1">
      <x:c r="A16" s="45" t="str">
        <x:v>SF-002-P06</x:v>
      </x:c>
      <x:c r="B16" s="45" t="str">
        <x:v>SF-002</x:v>
      </x:c>
      <x:c r="C16" s="45" t="str">
        <x:v>The repeated announcements did not help because they added more noise.</x:v>
      </x:c>
      <x:c r="D16" s="46" t="str">
        <x:v>supported</x:v>
      </x:c>
      <x:c r="E16" s="45" t="str">
        <x:v>The source explicitly links the announcements not helping to their adding more noise.</x:v>
      </x:c>
      <x:c r="F16" s="45" t="n">
        <x:v>3</x:v>
      </x:c>
      <x:c r="G16" s="45" t="str">
        <x:v>2026-08-09T19:02:14+0800</x:v>
      </x:c>
      <x:c r="H16" s="46" t="str">
        <x:v>supported</x:v>
      </x:c>
      <x:c r="I16" s="45" t="str">
        <x:v>Both outcome and cause match: announcements did not help because they added noise.</x:v>
      </x:c>
      <x:c r="J16" s="45" t="n">
        <x:v>3</x:v>
      </x:c>
      <x:c r="K16" s="45" t="str">
        <x:v>2026-08-09T20:23:20+0800</x:v>
      </x:c>
      <x:c r="L16" s="47" t="str">
        <x:f>IF(D16=H16,"AGREE","DISAGREE")</x:f>
        <x:v>AGREE</x:v>
      </x:c>
      <x:c r="M16" s="70" t="str">
        <x:f>IF(L16="AGREE",D16,IF(A16="SF-008-P02","unsupported",""))</x:f>
        <x:v>supported</x:v>
      </x:c>
      <x:c r="N16" s="70" t="str">
        <x:f>IF(L16="AGREE","independent agreement","joint resolution 2026-08-10")</x:f>
        <x:v>independent agreement</x:v>
      </x:c>
    </x:row>
    <x:row r="17" ht="24" hidden="0" customHeight="1">
      <x:c r="A17" s="45" t="str">
        <x:v>SF-003-P01</x:v>
      </x:c>
      <x:c r="B17" s="45" t="str">
        <x:v>SF-003</x:v>
      </x:c>
      <x:c r="C17" s="45" t="str">
        <x:v>The squeeze interaction seemed useful because it would give the participant's hands a focus.</x:v>
      </x:c>
      <x:c r="D17" s="46" t="str">
        <x:v>supported</x:v>
      </x:c>
      <x:c r="E17" s="45" t="str">
        <x:v>The source states that the squeeze interaction seemed useful because it would give the participant's hands a focus.</x:v>
      </x:c>
      <x:c r="F17" s="45" t="n">
        <x:v>3</x:v>
      </x:c>
      <x:c r="G17" s="45" t="str">
        <x:v>2026-08-09T19:03:43+0800</x:v>
      </x:c>
      <x:c r="H17" s="46" t="str">
        <x:v>supported</x:v>
      </x:c>
      <x:c r="I17" s="45" t="str">
        <x:v>Both parts match the source: useful squeeze interaction and hands having a focus.</x:v>
      </x:c>
      <x:c r="J17" s="45" t="n">
        <x:v>3</x:v>
      </x:c>
      <x:c r="K17" s="45" t="str">
        <x:v>2026-08-09T20:24:24+0800</x:v>
      </x:c>
      <x:c r="L17" s="47" t="str">
        <x:f>IF(D17=H17,"AGREE","DISAGREE")</x:f>
        <x:v>AGREE</x:v>
      </x:c>
      <x:c r="M17" s="70" t="str">
        <x:f>IF(L17="AGREE",D17,IF(A17="SF-008-P02","unsupported",""))</x:f>
        <x:v>supported</x:v>
      </x:c>
      <x:c r="N17" s="70" t="str">
        <x:f>IF(L17="AGREE","independent agreement","joint resolution 2026-08-10")</x:f>
        <x:v>independent agreement</x:v>
      </x:c>
    </x:row>
    <x:row r="18" ht="24" hidden="0" customHeight="1">
      <x:c r="A18" s="45" t="str">
        <x:v>SF-003-P02</x:v>
      </x:c>
      <x:c r="B18" s="45" t="str">
        <x:v>SF-003</x:v>
      </x:c>
      <x:c r="C18" s="45" t="str">
        <x:v>Gentle haptics might help the participant pace their breathing.</x:v>
      </x:c>
      <x:c r="D18" s="46" t="str">
        <x:v>supported</x:v>
      </x:c>
      <x:c r="E18" s="45" t="str">
        <x:v>The participant directly says gentle haptics might help them pace their breathing.</x:v>
      </x:c>
      <x:c r="F18" s="45" t="n">
        <x:v>3</x:v>
      </x:c>
      <x:c r="G18" s="45" t="str">
        <x:v>2026-08-09T19:05:25+0800</x:v>
      </x:c>
      <x:c r="H18" s="46" t="str">
        <x:v>supported</x:v>
      </x:c>
      <x:c r="I18" s="45" t="str">
        <x:v>The source retains the same cautious claim about haptics helping breathing pace.</x:v>
      </x:c>
      <x:c r="J18" s="45" t="n">
        <x:v>3</x:v>
      </x:c>
      <x:c r="K18" s="45" t="str">
        <x:v>2026-08-09T20:25:45+0800</x:v>
      </x:c>
      <x:c r="L18" s="47" t="str">
        <x:f>IF(D18=H18,"AGREE","DISAGREE")</x:f>
        <x:v>AGREE</x:v>
      </x:c>
      <x:c r="M18" s="70" t="str">
        <x:f>IF(L18="AGREE",D18,IF(A18="SF-008-P02","unsupported",""))</x:f>
        <x:v>supported</x:v>
      </x:c>
      <x:c r="N18" s="70" t="str">
        <x:f>IF(L18="AGREE","independent agreement","joint resolution 2026-08-10")</x:f>
        <x:v>independent agreement</x:v>
      </x:c>
    </x:row>
    <x:row r="19" ht="24" hidden="0" customHeight="1">
      <x:c r="A19" s="45" t="str">
        <x:v>SF-003-P03</x:v>
      </x:c>
      <x:c r="B19" s="45" t="str">
        <x:v>SF-003</x:v>
      </x:c>
      <x:c r="C19" s="45" t="str">
        <x:v>The participant would avoid scent because it could be another trigger.</x:v>
      </x:c>
      <x:c r="D19" s="46" t="str">
        <x:v>supported</x:v>
      </x:c>
      <x:c r="E19" s="45" t="str">
        <x:v>The source says the participant would avoid scent because it could be another trigger.</x:v>
      </x:c>
      <x:c r="F19" s="45" t="n">
        <x:v>3</x:v>
      </x:c>
      <x:c r="G19" s="45" t="str">
        <x:v>2026-08-09T19:07:20+0800</x:v>
      </x:c>
      <x:c r="H19" s="46" t="str">
        <x:v>supported</x:v>
      </x:c>
      <x:c r="I19" s="45" t="str">
        <x:v>Avoiding scent and the trigger reason are both present in the source.</x:v>
      </x:c>
      <x:c r="J19" s="45" t="n">
        <x:v>3</x:v>
      </x:c>
      <x:c r="K19" s="45" t="str">
        <x:v>2026-08-09T20:26:54+0800</x:v>
      </x:c>
      <x:c r="L19" s="47" t="str">
        <x:f>IF(D19=H19,"AGREE","DISAGREE")</x:f>
        <x:v>AGREE</x:v>
      </x:c>
      <x:c r="M19" s="70" t="str">
        <x:f>IF(L19="AGREE",D19,IF(A19="SF-008-P02","unsupported",""))</x:f>
        <x:v>supported</x:v>
      </x:c>
      <x:c r="N19" s="70" t="str">
        <x:f>IF(L19="AGREE","independent agreement","joint resolution 2026-08-10")</x:f>
        <x:v>independent agreement</x:v>
      </x:c>
    </x:row>
    <x:row r="20" ht="15" hidden="0" customHeight="1">
      <x:c r="A20" s="45" t="str">
        <x:v>SF-003-P04</x:v>
      </x:c>
      <x:c r="B20" s="45" t="str">
        <x:v>SF-003</x:v>
      </x:c>
      <x:c r="C20" s="45" t="str">
        <x:v>The participant wanted every feature to be optional.</x:v>
      </x:c>
      <x:c r="D20" s="46" t="str">
        <x:v>supported</x:v>
      </x:c>
      <x:c r="E20" s="45" t="str">
        <x:v>The participant explicitly says they would want every feature to be optional.</x:v>
      </x:c>
      <x:c r="F20" s="45" t="n">
        <x:v>3</x:v>
      </x:c>
      <x:c r="G20" s="45" t="str">
        <x:v>2026-08-09T19:08:57+0800</x:v>
      </x:c>
      <x:c r="H20" s="46" t="str">
        <x:v>supported</x:v>
      </x:c>
      <x:c r="I20" s="45" t="str">
        <x:v>The source sets optionality as the participant's preference for every feature.</x:v>
      </x:c>
      <x:c r="J20" s="45" t="n">
        <x:v>3</x:v>
      </x:c>
      <x:c r="K20" s="45" t="str">
        <x:v>2026-08-09T20:28:20+0800</x:v>
      </x:c>
      <x:c r="L20" s="47" t="str">
        <x:f>IF(D20=H20,"AGREE","DISAGREE")</x:f>
        <x:v>AGREE</x:v>
      </x:c>
      <x:c r="M20" s="70" t="str">
        <x:f>IF(L20="AGREE",D20,IF(A20="SF-008-P02","unsupported",""))</x:f>
        <x:v>supported</x:v>
      </x:c>
      <x:c r="N20" s="70" t="str">
        <x:f>IF(L20="AGREE","independent agreement","joint resolution 2026-08-10")</x:f>
        <x:v>independent agreement</x:v>
      </x:c>
    </x:row>
    <x:row r="21" ht="15" hidden="0" customHeight="1">
      <x:c r="A21" s="45" t="str">
        <x:v>SF-004-P01</x:v>
      </x:c>
      <x:c r="B21" s="45" t="str">
        <x:v>SF-004</x:v>
      </x:c>
      <x:c r="C21" s="45" t="str">
        <x:v>The participant covered their ears.</x:v>
      </x:c>
      <x:c r="D21" s="46" t="str">
        <x:v>supported</x:v>
      </x:c>
      <x:c r="E21" s="45" t="str">
        <x:v>The source directly reports that the participant covered their ears.</x:v>
      </x:c>
      <x:c r="F21" s="45" t="n">
        <x:v>3</x:v>
      </x:c>
      <x:c r="G21" s="45" t="str">
        <x:v>2026-08-09T19:10:02+0800</x:v>
      </x:c>
      <x:c r="H21" s="46" t="str">
        <x:v>supported</x:v>
      </x:c>
      <x:c r="I21" s="45" t="str">
        <x:v>Exact behaviour is present in the source: covering the ears.</x:v>
      </x:c>
      <x:c r="J21" s="45" t="n">
        <x:v>3</x:v>
      </x:c>
      <x:c r="K21" s="45" t="str">
        <x:v>2026-08-09T20:29:24+0800</x:v>
      </x:c>
      <x:c r="L21" s="47" t="str">
        <x:f>IF(D21=H21,"AGREE","DISAGREE")</x:f>
        <x:v>AGREE</x:v>
      </x:c>
      <x:c r="M21" s="70" t="str">
        <x:f>IF(L21="AGREE",D21,IF(A21="SF-008-P02","unsupported",""))</x:f>
        <x:v>supported</x:v>
      </x:c>
      <x:c r="N21" s="70" t="str">
        <x:f>IF(L21="AGREE","independent agreement","joint resolution 2026-08-10")</x:f>
        <x:v>independent agreement</x:v>
      </x:c>
    </x:row>
    <x:row r="22" ht="15" hidden="0" customHeight="1">
      <x:c r="A22" s="45" t="str">
        <x:v>SF-004-P02</x:v>
      </x:c>
      <x:c r="B22" s="45" t="str">
        <x:v>SF-004</x:v>
      </x:c>
      <x:c r="C22" s="45" t="str">
        <x:v>The participant focused on slow breathing.</x:v>
      </x:c>
      <x:c r="D22" s="46" t="str">
        <x:v>supported</x:v>
      </x:c>
      <x:c r="E22" s="45" t="str">
        <x:v>The participant explicitly reports focusing on slow breathing.</x:v>
      </x:c>
      <x:c r="F22" s="45" t="n">
        <x:v>3</x:v>
      </x:c>
      <x:c r="G22" s="45" t="str">
        <x:v>2026-08-09T19:11:18+0800</x:v>
      </x:c>
      <x:c r="H22" s="46" t="str">
        <x:v>supported</x:v>
      </x:c>
      <x:c r="I22" s="45" t="str">
        <x:v>The source includes focusing on slow breathing.</x:v>
      </x:c>
      <x:c r="J22" s="45" t="n">
        <x:v>3</x:v>
      </x:c>
      <x:c r="K22" s="45" t="str">
        <x:v>2026-08-09T20:30:35+0800</x:v>
      </x:c>
      <x:c r="L22" s="47" t="str">
        <x:f>IF(D22=H22,"AGREE","DISAGREE")</x:f>
        <x:v>AGREE</x:v>
      </x:c>
      <x:c r="M22" s="70" t="str">
        <x:f>IF(L22="AGREE",D22,IF(A22="SF-008-P02","unsupported",""))</x:f>
        <x:v>supported</x:v>
      </x:c>
      <x:c r="N22" s="70" t="str">
        <x:f>IF(L22="AGREE","independent agreement","joint resolution 2026-08-10")</x:f>
        <x:v>independent agreement</x:v>
      </x:c>
    </x:row>
    <x:row r="23" ht="15" hidden="0" customHeight="1">
      <x:c r="A23" s="45" t="str">
        <x:v>SF-004-P03</x:v>
      </x:c>
      <x:c r="B23" s="45" t="str">
        <x:v>SF-004</x:v>
      </x:c>
      <x:c r="C23" s="45" t="str">
        <x:v>The participant left at the next stop.</x:v>
      </x:c>
      <x:c r="D23" s="46" t="str">
        <x:v>supported</x:v>
      </x:c>
      <x:c r="E23" s="45" t="str">
        <x:v>The source states that the participant left at the next stop.</x:v>
      </x:c>
      <x:c r="F23" s="45" t="n">
        <x:v>3</x:v>
      </x:c>
      <x:c r="G23" s="45" t="str">
        <x:v>2026-08-09T19:12:45+0800</x:v>
      </x:c>
      <x:c r="H23" s="46" t="str">
        <x:v>supported</x:v>
      </x:c>
      <x:c r="I23" s="45" t="str">
        <x:v>The source includes leaving at the next stop.</x:v>
      </x:c>
      <x:c r="J23" s="45" t="n">
        <x:v>3</x:v>
      </x:c>
      <x:c r="K23" s="45" t="str">
        <x:v>2026-08-09T20:31:29+0800</x:v>
      </x:c>
      <x:c r="L23" s="47" t="str">
        <x:f>IF(D23=H23,"AGREE","DISAGREE")</x:f>
        <x:v>AGREE</x:v>
      </x:c>
      <x:c r="M23" s="70" t="str">
        <x:f>IF(L23="AGREE",D23,IF(A23="SF-008-P02","unsupported",""))</x:f>
        <x:v>supported</x:v>
      </x:c>
      <x:c r="N23" s="70" t="str">
        <x:f>IF(L23="AGREE","independent agreement","joint resolution 2026-08-10")</x:f>
        <x:v>independent agreement</x:v>
      </x:c>
    </x:row>
    <x:row r="24" ht="24" hidden="0" customHeight="1">
      <x:c r="A24" s="45" t="str">
        <x:v>SF-004-P04</x:v>
      </x:c>
      <x:c r="B24" s="45" t="str">
        <x:v>SF-004</x:v>
      </x:c>
      <x:c r="C24" s="45" t="str">
        <x:v>A quieter carriage would have helped the participant.</x:v>
      </x:c>
      <x:c r="D24" s="46" t="str">
        <x:v>supported</x:v>
      </x:c>
      <x:c r="E24" s="45" t="str">
        <x:v>A quieter carriage is directly identified by the participant as something that would have helped.</x:v>
      </x:c>
      <x:c r="F24" s="45" t="n">
        <x:v>3</x:v>
      </x:c>
      <x:c r="G24" s="45" t="str">
        <x:v>2026-08-09T19:13:54+0800</x:v>
      </x:c>
      <x:c r="H24" s="46" t="str">
        <x:v>supported</x:v>
      </x:c>
      <x:c r="I24" s="45" t="str">
        <x:v>Quieter carriage appears in the source as a helpful change.</x:v>
      </x:c>
      <x:c r="J24" s="45" t="n">
        <x:v>3</x:v>
      </x:c>
      <x:c r="K24" s="45" t="str">
        <x:v>2026-08-09T20:32:30+0800</x:v>
      </x:c>
      <x:c r="L24" s="47" t="str">
        <x:f>IF(D24=H24,"AGREE","DISAGREE")</x:f>
        <x:v>AGREE</x:v>
      </x:c>
      <x:c r="M24" s="70" t="str">
        <x:f>IF(L24="AGREE",D24,IF(A24="SF-008-P02","unsupported",""))</x:f>
        <x:v>supported</x:v>
      </x:c>
      <x:c r="N24" s="70" t="str">
        <x:f>IF(L24="AGREE","independent agreement","joint resolution 2026-08-10")</x:f>
        <x:v>independent agreement</x:v>
      </x:c>
    </x:row>
    <x:row r="25" ht="24" hidden="0" customHeight="1">
      <x:c r="A25" s="45" t="str">
        <x:v>SF-004-P05</x:v>
      </x:c>
      <x:c r="B25" s="45" t="str">
        <x:v>SF-004</x:v>
      </x:c>
      <x:c r="C25" s="45" t="str">
        <x:v>A warning before the alarm would have helped the participant.</x:v>
      </x:c>
      <x:c r="D25" s="46" t="str">
        <x:v>supported</x:v>
      </x:c>
      <x:c r="E25" s="45" t="str">
        <x:v>The participant directly identifies a warning before the alarm as something that would have helped.</x:v>
      </x:c>
      <x:c r="F25" s="45" t="n">
        <x:v>3</x:v>
      </x:c>
      <x:c r="G25" s="45" t="str">
        <x:v>2026-08-09T19:15:14+0800</x:v>
      </x:c>
      <x:c r="H25" s="46" t="str">
        <x:v>supported</x:v>
      </x:c>
      <x:c r="I25" s="45" t="str">
        <x:v>Warning before the alarm appears in the source as a helpful change.</x:v>
      </x:c>
      <x:c r="J25" s="45" t="n">
        <x:v>3</x:v>
      </x:c>
      <x:c r="K25" s="45" t="str">
        <x:v>2026-08-09T20:33:38+0800</x:v>
      </x:c>
      <x:c r="L25" s="47" t="str">
        <x:f>IF(D25=H25,"AGREE","DISAGREE")</x:f>
        <x:v>AGREE</x:v>
      </x:c>
      <x:c r="M25" s="70" t="str">
        <x:f>IF(L25="AGREE",D25,IF(A25="SF-008-P02","unsupported",""))</x:f>
        <x:v>supported</x:v>
      </x:c>
      <x:c r="N25" s="70" t="str">
        <x:f>IF(L25="AGREE","independent agreement","joint resolution 2026-08-10")</x:f>
        <x:v>independent agreement</x:v>
      </x:c>
    </x:row>
    <x:row r="26" ht="24" hidden="0" customHeight="1">
      <x:c r="A26" s="45" t="str">
        <x:v>SF-004-P06</x:v>
      </x:c>
      <x:c r="B26" s="45" t="str">
        <x:v>SF-004</x:v>
      </x:c>
      <x:c r="C26" s="45" t="str">
        <x:v>The repeated announcements did not help because they added more noise.</x:v>
      </x:c>
      <x:c r="D26" s="46" t="str">
        <x:v>supported</x:v>
      </x:c>
      <x:c r="E26" s="45" t="str">
        <x:v>The participant explicitly says the repeated announcements did not help because they added more noise.</x:v>
      </x:c>
      <x:c r="F26" s="45" t="n">
        <x:v>3</x:v>
      </x:c>
      <x:c r="G26" s="45" t="str">
        <x:v>2026-08-09T19:16:45+0800</x:v>
      </x:c>
      <x:c r="H26" s="46" t="str">
        <x:v>supported</x:v>
      </x:c>
      <x:c r="I26" s="45" t="str">
        <x:v>The source gives the same negative outcome and reason: more noise from repeated announcements.</x:v>
      </x:c>
      <x:c r="J26" s="45" t="n">
        <x:v>3</x:v>
      </x:c>
      <x:c r="K26" s="45" t="str">
        <x:v>2026-08-09T20:34:29+0800</x:v>
      </x:c>
      <x:c r="L26" s="47" t="str">
        <x:f>IF(D26=H26,"AGREE","DISAGREE")</x:f>
        <x:v>AGREE</x:v>
      </x:c>
      <x:c r="M26" s="70" t="str">
        <x:f>IF(L26="AGREE",D26,IF(A26="SF-008-P02","unsupported",""))</x:f>
        <x:v>supported</x:v>
      </x:c>
      <x:c r="N26" s="70" t="str">
        <x:f>IF(L26="AGREE","independent agreement","joint resolution 2026-08-10")</x:f>
        <x:v>independent agreement</x:v>
      </x:c>
    </x:row>
    <x:row r="27" ht="24" hidden="0" customHeight="1">
      <x:c r="A27" s="45" t="str">
        <x:v>SF-005-P01</x:v>
      </x:c>
      <x:c r="B27" s="45" t="str">
        <x:v>SF-005</x:v>
      </x:c>
      <x:c r="C27" s="45" t="str">
        <x:v>Sharp braking noise was one of the participant's strongest triggers.</x:v>
      </x:c>
      <x:c r="D27" s="46" t="str">
        <x:v>supported</x:v>
      </x:c>
      <x:c r="E27" s="45" t="str">
        <x:v>Sharp braking noise is directly included in the source as one of the strongest triggers.</x:v>
      </x:c>
      <x:c r="F27" s="45" t="n">
        <x:v>3</x:v>
      </x:c>
      <x:c r="G27" s="45" t="str">
        <x:v>2026-08-09T19:17:58+0800</x:v>
      </x:c>
      <x:c r="H27" s="46" t="str">
        <x:v>supported</x:v>
      </x:c>
      <x:c r="I27" s="45" t="str">
        <x:v>The trigger list explicitly contains sharp braking noise.</x:v>
      </x:c>
      <x:c r="J27" s="45" t="n">
        <x:v>3</x:v>
      </x:c>
      <x:c r="K27" s="45" t="str">
        <x:v>2026-08-09T20:35:27+0800</x:v>
      </x:c>
      <x:c r="L27" s="47" t="str">
        <x:f>IF(D27=H27,"AGREE","DISAGREE")</x:f>
        <x:v>AGREE</x:v>
      </x:c>
      <x:c r="M27" s="70" t="str">
        <x:f>IF(L27="AGREE",D27,IF(A27="SF-008-P02","unsupported",""))</x:f>
        <x:v>supported</x:v>
      </x:c>
      <x:c r="N27" s="70" t="str">
        <x:f>IF(L27="AGREE","independent agreement","joint resolution 2026-08-10")</x:f>
        <x:v>independent agreement</x:v>
      </x:c>
    </x:row>
    <x:row r="28" ht="24" hidden="0" customHeight="1">
      <x:c r="A28" s="45" t="str">
        <x:v>SF-005-P02</x:v>
      </x:c>
      <x:c r="B28" s="45" t="str">
        <x:v>SF-005</x:v>
      </x:c>
      <x:c r="C28" s="45" t="str">
        <x:v>Flashing carriage lights were one of the participant's strongest triggers.</x:v>
      </x:c>
      <x:c r="D28" s="46" t="str">
        <x:v>supported</x:v>
      </x:c>
      <x:c r="E28" s="45" t="str">
        <x:v>The participant directly identifies flashing carriage lights as one of the strongest triggers.</x:v>
      </x:c>
      <x:c r="F28" s="45" t="n">
        <x:v>3</x:v>
      </x:c>
      <x:c r="G28" s="45" t="str">
        <x:v>2026-08-09T19:19:22+0800</x:v>
      </x:c>
      <x:c r="H28" s="46" t="str">
        <x:v>supported</x:v>
      </x:c>
      <x:c r="I28" s="45" t="str">
        <x:v>The trigger list explicitly contains flashing carriage lights.</x:v>
      </x:c>
      <x:c r="J28" s="45" t="n">
        <x:v>3</x:v>
      </x:c>
      <x:c r="K28" s="45" t="str">
        <x:v>2026-08-09T20:36:32+0800</x:v>
      </x:c>
      <x:c r="L28" s="47" t="str">
        <x:f>IF(D28=H28,"AGREE","DISAGREE")</x:f>
        <x:v>AGREE</x:v>
      </x:c>
      <x:c r="M28" s="70" t="str">
        <x:f>IF(L28="AGREE",D28,IF(A28="SF-008-P02","unsupported",""))</x:f>
        <x:v>supported</x:v>
      </x:c>
      <x:c r="N28" s="70" t="str">
        <x:f>IF(L28="AGREE","independent agreement","joint resolution 2026-08-10")</x:f>
        <x:v>independent agreement</x:v>
      </x:c>
    </x:row>
    <x:row r="29" ht="15" hidden="0" customHeight="1">
      <x:c r="A29" s="45" t="str">
        <x:v>SF-005-P03</x:v>
      </x:c>
      <x:c r="B29" s="45" t="str">
        <x:v>SF-005</x:v>
      </x:c>
      <x:c r="C29" s="45" t="str">
        <x:v>Crowding was one of the participant's strongest triggers.</x:v>
      </x:c>
      <x:c r="D29" s="46" t="str">
        <x:v>supported</x:v>
      </x:c>
      <x:c r="E29" s="45" t="str">
        <x:v>The source explicitly includes crowding among the strongest triggers.</x:v>
      </x:c>
      <x:c r="F29" s="45" t="n">
        <x:v>3</x:v>
      </x:c>
      <x:c r="G29" s="45" t="str">
        <x:v>2026-08-09T19:20:28+0800</x:v>
      </x:c>
      <x:c r="H29" s="46" t="str">
        <x:v>supported</x:v>
      </x:c>
      <x:c r="I29" s="45" t="str">
        <x:v>The trigger list explicitly contains crowding.</x:v>
      </x:c>
      <x:c r="J29" s="45" t="n">
        <x:v>3</x:v>
      </x:c>
      <x:c r="K29" s="45" t="str">
        <x:v>2026-08-09T20:37:20+0800</x:v>
      </x:c>
      <x:c r="L29" s="47" t="str">
        <x:f>IF(D29=H29,"AGREE","DISAGREE")</x:f>
        <x:v>AGREE</x:v>
      </x:c>
      <x:c r="M29" s="70" t="str">
        <x:f>IF(L29="AGREE",D29,IF(A29="SF-008-P02","unsupported",""))</x:f>
        <x:v>supported</x:v>
      </x:c>
      <x:c r="N29" s="70" t="str">
        <x:f>IF(L29="AGREE","independent agreement","joint resolution 2026-08-10")</x:f>
        <x:v>independent agreement</x:v>
      </x:c>
    </x:row>
    <x:row r="30" ht="15" hidden="0" customHeight="1">
      <x:c r="A30" s="45" t="str">
        <x:v>SF-005-P04</x:v>
      </x:c>
      <x:c r="B30" s="45" t="str">
        <x:v>SF-005</x:v>
      </x:c>
      <x:c r="C30" s="45" t="str">
        <x:v>The participant's shoulders tightened.</x:v>
      </x:c>
      <x:c r="D30" s="46" t="str">
        <x:v>supported</x:v>
      </x:c>
      <x:c r="E30" s="45" t="str">
        <x:v>The participant states that their shoulders tightened.</x:v>
      </x:c>
      <x:c r="F30" s="45" t="n">
        <x:v>3</x:v>
      </x:c>
      <x:c r="G30" s="45" t="str">
        <x:v>2026-08-09T19:21:45+0800</x:v>
      </x:c>
      <x:c r="H30" s="46" t="str">
        <x:v>supported</x:v>
      </x:c>
      <x:c r="I30" s="45" t="str">
        <x:v>The bodily response “shoulders tightened” is stated.</x:v>
      </x:c>
      <x:c r="J30" s="45" t="n">
        <x:v>3</x:v>
      </x:c>
      <x:c r="K30" s="45" t="str">
        <x:v>2026-08-09T20:38:15+0800</x:v>
      </x:c>
      <x:c r="L30" s="47" t="str">
        <x:f>IF(D30=H30,"AGREE","DISAGREE")</x:f>
        <x:v>AGREE</x:v>
      </x:c>
      <x:c r="M30" s="70" t="str">
        <x:f>IF(L30="AGREE",D30,IF(A30="SF-008-P02","unsupported",""))</x:f>
        <x:v>supported</x:v>
      </x:c>
      <x:c r="N30" s="70" t="str">
        <x:f>IF(L30="AGREE","independent agreement","joint resolution 2026-08-10")</x:f>
        <x:v>independent agreement</x:v>
      </x:c>
    </x:row>
    <x:row r="31" ht="15" hidden="0" customHeight="1">
      <x:c r="A31" s="45" t="str">
        <x:v>SF-005-P05</x:v>
      </x:c>
      <x:c r="B31" s="45" t="str">
        <x:v>SF-005</x:v>
      </x:c>
      <x:c r="C31" s="45" t="str">
        <x:v>The participant's heart raced.</x:v>
      </x:c>
      <x:c r="D31" s="46" t="str">
        <x:v>supported</x:v>
      </x:c>
      <x:c r="E31" s="45" t="str">
        <x:v>The source directly states that the participant's heart raced.</x:v>
      </x:c>
      <x:c r="F31" s="45" t="n">
        <x:v>3</x:v>
      </x:c>
      <x:c r="G31" s="45" t="str">
        <x:v>2026-08-09T19:23:13+0800</x:v>
      </x:c>
      <x:c r="H31" s="46" t="str">
        <x:v>supported</x:v>
      </x:c>
      <x:c r="I31" s="45" t="str">
        <x:v>The bodily response “heart raced” is stated.</x:v>
      </x:c>
      <x:c r="J31" s="45" t="n">
        <x:v>3</x:v>
      </x:c>
      <x:c r="K31" s="45" t="str">
        <x:v>2026-08-09T20:39:17+0800</x:v>
      </x:c>
      <x:c r="L31" s="47" t="str">
        <x:f>IF(D31=H31,"AGREE","DISAGREE")</x:f>
        <x:v>AGREE</x:v>
      </x:c>
      <x:c r="M31" s="70" t="str">
        <x:f>IF(L31="AGREE",D31,IF(A31="SF-008-P02","unsupported",""))</x:f>
        <x:v>supported</x:v>
      </x:c>
      <x:c r="N31" s="70" t="str">
        <x:f>IF(L31="AGREE","independent agreement","joint resolution 2026-08-10")</x:f>
        <x:v>independent agreement</x:v>
      </x:c>
    </x:row>
    <x:row r="32" ht="15" hidden="0" customHeight="1">
      <x:c r="A32" s="45" t="str">
        <x:v>SF-005-P06</x:v>
      </x:c>
      <x:c r="B32" s="45" t="str">
        <x:v>SF-005</x:v>
      </x:c>
      <x:c r="C32" s="45" t="str">
        <x:v>The participant felt panicked.</x:v>
      </x:c>
      <x:c r="D32" s="46" t="str">
        <x:v>supported</x:v>
      </x:c>
      <x:c r="E32" s="45" t="str">
        <x:v>The participant directly reports feeling panicked.</x:v>
      </x:c>
      <x:c r="F32" s="45" t="n">
        <x:v>3</x:v>
      </x:c>
      <x:c r="G32" s="45" t="str">
        <x:v>2026-08-09T19:24:23+0800</x:v>
      </x:c>
      <x:c r="H32" s="46" t="str">
        <x:v>supported</x:v>
      </x:c>
      <x:c r="I32" s="45" t="str">
        <x:v>The emotional response “felt panicked” is stated.</x:v>
      </x:c>
      <x:c r="J32" s="45" t="n">
        <x:v>3</x:v>
      </x:c>
      <x:c r="K32" s="45" t="str">
        <x:v>2026-08-09T20:40:26+0800</x:v>
      </x:c>
      <x:c r="L32" s="47" t="str">
        <x:f>IF(D32=H32,"AGREE","DISAGREE")</x:f>
        <x:v>AGREE</x:v>
      </x:c>
      <x:c r="M32" s="70" t="str">
        <x:f>IF(L32="AGREE",D32,IF(A32="SF-008-P02","unsupported",""))</x:f>
        <x:v>supported</x:v>
      </x:c>
      <x:c r="N32" s="70" t="str">
        <x:f>IF(L32="AGREE","independent agreement","joint resolution 2026-08-10")</x:f>
        <x:v>independent agreement</x:v>
      </x:c>
    </x:row>
    <x:row r="33" ht="24" hidden="0" customHeight="1">
      <x:c r="A33" s="45" t="str">
        <x:v>SF-006-P01</x:v>
      </x:c>
      <x:c r="B33" s="45" t="str">
        <x:v>SF-006</x:v>
      </x:c>
      <x:c r="C33" s="45" t="str">
        <x:v>The squeeze interaction seemed useful because it would give the participant's hands a focus.</x:v>
      </x:c>
      <x:c r="D33" s="46" t="str">
        <x:v>supported</x:v>
      </x:c>
      <x:c r="E33" s="45" t="str">
        <x:v>The participant says the squeeze interaction seemed useful because it would give their hands a focus.</x:v>
      </x:c>
      <x:c r="F33" s="45" t="n">
        <x:v>3</x:v>
      </x:c>
      <x:c r="G33" s="45" t="str">
        <x:v>2026-08-09T19:26:14+0800</x:v>
      </x:c>
      <x:c r="H33" s="46" t="str">
        <x:v>supported</x:v>
      </x:c>
      <x:c r="I33" s="45" t="str">
        <x:v>Source wording preserves both the usefulness judgement and the hands-focus reason.</x:v>
      </x:c>
      <x:c r="J33" s="45" t="n">
        <x:v>3</x:v>
      </x:c>
      <x:c r="K33" s="45" t="str">
        <x:v>2026-08-09T20:41:41+0800</x:v>
      </x:c>
      <x:c r="L33" s="47" t="str">
        <x:f>IF(D33=H33,"AGREE","DISAGREE")</x:f>
        <x:v>AGREE</x:v>
      </x:c>
      <x:c r="M33" s="70" t="str">
        <x:f>IF(L33="AGREE",D33,IF(A33="SF-008-P02","unsupported",""))</x:f>
        <x:v>supported</x:v>
      </x:c>
      <x:c r="N33" s="70" t="str">
        <x:f>IF(L33="AGREE","independent agreement","joint resolution 2026-08-10")</x:f>
        <x:v>independent agreement</x:v>
      </x:c>
    </x:row>
    <x:row r="34" ht="24" hidden="0" customHeight="1">
      <x:c r="A34" s="45" t="str">
        <x:v>SF-006-P02</x:v>
      </x:c>
      <x:c r="B34" s="45" t="str">
        <x:v>SF-006</x:v>
      </x:c>
      <x:c r="C34" s="45" t="str">
        <x:v>Gentle haptics might help the participant pace their breathing.</x:v>
      </x:c>
      <x:c r="D34" s="46" t="str">
        <x:v>supported</x:v>
      </x:c>
      <x:c r="E34" s="45" t="str">
        <x:v>The source directly supports the modal claim that gentle haptics might help pace the participant's breathing.</x:v>
      </x:c>
      <x:c r="F34" s="45" t="n">
        <x:v>3</x:v>
      </x:c>
      <x:c r="G34" s="45" t="str">
        <x:v>2026-08-09T19:27:47+0800</x:v>
      </x:c>
      <x:c r="H34" s="46" t="str">
        <x:v>supported</x:v>
      </x:c>
      <x:c r="I34" s="45" t="str">
        <x:v>Source wording supports the same tentative benefit for breathing pace.</x:v>
      </x:c>
      <x:c r="J34" s="45" t="n">
        <x:v>3</x:v>
      </x:c>
      <x:c r="K34" s="45" t="str">
        <x:v>2026-08-09T20:42:44+0800</x:v>
      </x:c>
      <x:c r="L34" s="47" t="str">
        <x:f>IF(D34=H34,"AGREE","DISAGREE")</x:f>
        <x:v>AGREE</x:v>
      </x:c>
      <x:c r="M34" s="70" t="str">
        <x:f>IF(L34="AGREE",D34,IF(A34="SF-008-P02","unsupported",""))</x:f>
        <x:v>supported</x:v>
      </x:c>
      <x:c r="N34" s="70" t="str">
        <x:f>IF(L34="AGREE","independent agreement","joint resolution 2026-08-10")</x:f>
        <x:v>independent agreement</x:v>
      </x:c>
    </x:row>
    <x:row r="35" ht="24" hidden="0" customHeight="1">
      <x:c r="A35" s="45" t="str">
        <x:v>SF-006-P03</x:v>
      </x:c>
      <x:c r="B35" s="45" t="str">
        <x:v>SF-006</x:v>
      </x:c>
      <x:c r="C35" s="45" t="str">
        <x:v>The participant would avoid scent because it could be another trigger.</x:v>
      </x:c>
      <x:c r="D35" s="46" t="str">
        <x:v>supported</x:v>
      </x:c>
      <x:c r="E35" s="45" t="str">
        <x:v>The participant explicitly says they would avoid scent because it could be another trigger.</x:v>
      </x:c>
      <x:c r="F35" s="45" t="n">
        <x:v>3</x:v>
      </x:c>
      <x:c r="G35" s="45" t="str">
        <x:v>2026-08-09T19:29:33+0800</x:v>
      </x:c>
      <x:c r="H35" s="46" t="str">
        <x:v>supported</x:v>
      </x:c>
      <x:c r="I35" s="45" t="str">
        <x:v>Source wording preserves both scent avoidance and the possible-trigger reason.</x:v>
      </x:c>
      <x:c r="J35" s="45" t="n">
        <x:v>3</x:v>
      </x:c>
      <x:c r="K35" s="45" t="str">
        <x:v>2026-08-09T20:44:04+0800</x:v>
      </x:c>
      <x:c r="L35" s="47" t="str">
        <x:f>IF(D35=H35,"AGREE","DISAGREE")</x:f>
        <x:v>AGREE</x:v>
      </x:c>
      <x:c r="M35" s="70" t="str">
        <x:f>IF(L35="AGREE",D35,IF(A35="SF-008-P02","unsupported",""))</x:f>
        <x:v>supported</x:v>
      </x:c>
      <x:c r="N35" s="70" t="str">
        <x:f>IF(L35="AGREE","independent agreement","joint resolution 2026-08-10")</x:f>
        <x:v>independent agreement</x:v>
      </x:c>
    </x:row>
    <x:row r="36" ht="24" hidden="0" customHeight="1">
      <x:c r="A36" s="45" t="str">
        <x:v>SF-006-P04</x:v>
      </x:c>
      <x:c r="B36" s="45" t="str">
        <x:v>SF-006</x:v>
      </x:c>
      <x:c r="C36" s="45" t="str">
        <x:v>The participant wanted every feature to be optional.</x:v>
      </x:c>
      <x:c r="D36" s="46" t="str">
        <x:v>supported</x:v>
      </x:c>
      <x:c r="E36" s="45" t="str">
        <x:v>The source directly states the participant's preference for every feature to be optional.</x:v>
      </x:c>
      <x:c r="F36" s="45" t="n">
        <x:v>3</x:v>
      </x:c>
      <x:c r="G36" s="45" t="str">
        <x:v>2026-08-09T19:31:01+0800</x:v>
      </x:c>
      <x:c r="H36" s="46" t="str">
        <x:v>supported</x:v>
      </x:c>
      <x:c r="I36" s="45" t="str">
        <x:v>Every feature being optional is directly required by the participant.</x:v>
      </x:c>
      <x:c r="J36" s="45" t="n">
        <x:v>3</x:v>
      </x:c>
      <x:c r="K36" s="45" t="str">
        <x:v>2026-08-09T20:45:12+0800</x:v>
      </x:c>
      <x:c r="L36" s="47" t="str">
        <x:f>IF(D36=H36,"AGREE","DISAGREE")</x:f>
        <x:v>AGREE</x:v>
      </x:c>
      <x:c r="M36" s="70" t="str">
        <x:f>IF(L36="AGREE",D36,IF(A36="SF-008-P02","unsupported",""))</x:f>
        <x:v>supported</x:v>
      </x:c>
      <x:c r="N36" s="70" t="str">
        <x:f>IF(L36="AGREE","independent agreement","joint resolution 2026-08-10")</x:f>
        <x:v>independent agreement</x:v>
      </x:c>
    </x:row>
    <x:row r="37" ht="24" hidden="0" customHeight="1">
      <x:c r="A37" s="45" t="str">
        <x:v>SF-007-P01</x:v>
      </x:c>
      <x:c r="B37" s="45" t="str">
        <x:v>SF-007</x:v>
      </x:c>
      <x:c r="C37" s="45" t="str">
        <x:v>The participant might use the referenced item ("it") while commuting if it looked discreet and made no sound.</x:v>
      </x:c>
      <x:c r="D37" s="46" t="str">
        <x:v>supported</x:v>
      </x:c>
      <x:c r="E37" s="45" t="str">
        <x:v>The source directly gives this conditional use statement: the participant might use it while commuting if it were discreet and silent.</x:v>
      </x:c>
      <x:c r="F37" s="45" t="n">
        <x:v>3</x:v>
      </x:c>
      <x:c r="G37" s="45" t="str">
        <x:v>2026-08-09T19:32:42+0800</x:v>
      </x:c>
      <x:c r="H37" s="46" t="str">
        <x:v>supported</x:v>
      </x:c>
      <x:c r="I37" s="45" t="str">
        <x:v>The commuting-use condition matches: discreet appearance plus no sound.</x:v>
      </x:c>
      <x:c r="J37" s="45" t="n">
        <x:v>3</x:v>
      </x:c>
      <x:c r="K37" s="45" t="str">
        <x:v>2026-08-09T20:46:37+0800</x:v>
      </x:c>
      <x:c r="L37" s="47" t="str">
        <x:f>IF(D37=H37,"AGREE","DISAGREE")</x:f>
        <x:v>AGREE</x:v>
      </x:c>
      <x:c r="M37" s="70" t="str">
        <x:f>IF(L37="AGREE",D37,IF(A37="SF-008-P02","unsupported",""))</x:f>
        <x:v>supported</x:v>
      </x:c>
      <x:c r="N37" s="70" t="str">
        <x:f>IF(L37="AGREE","independent agreement","joint resolution 2026-08-10")</x:f>
        <x:v>independent agreement</x:v>
      </x:c>
    </x:row>
    <x:row r="38" ht="15" hidden="0" customHeight="1">
      <x:c r="A38" s="45" t="str">
        <x:v>SF-007-P02</x:v>
      </x:c>
      <x:c r="B38" s="45" t="str">
        <x:v>SF-007</x:v>
      </x:c>
      <x:c r="C38" s="45" t="str">
        <x:v>Obvious lights would embarrass the participant.</x:v>
      </x:c>
      <x:c r="D38" s="46" t="str">
        <x:v>supported</x:v>
      </x:c>
      <x:c r="E38" s="45" t="str">
        <x:v>The participant explicitly says obvious lights would be embarrassing.</x:v>
      </x:c>
      <x:c r="F38" s="45" t="n">
        <x:v>3</x:v>
      </x:c>
      <x:c r="G38" s="45" t="str">
        <x:v>2026-08-09T19:34:36+0800</x:v>
      </x:c>
      <x:c r="H38" s="46" t="str">
        <x:v>supported</x:v>
      </x:c>
      <x:c r="I38" s="45" t="str">
        <x:v>The source ties obvious lights directly to embarrassment.</x:v>
      </x:c>
      <x:c r="J38" s="45" t="n">
        <x:v>3</x:v>
      </x:c>
      <x:c r="K38" s="45" t="str">
        <x:v>2026-08-09T20:47:50+0800</x:v>
      </x:c>
      <x:c r="L38" s="47" t="str">
        <x:f>IF(D38=H38,"AGREE","DISAGREE")</x:f>
        <x:v>AGREE</x:v>
      </x:c>
      <x:c r="M38" s="70" t="str">
        <x:f>IF(L38="AGREE",D38,IF(A38="SF-008-P02","unsupported",""))</x:f>
        <x:v>supported</x:v>
      </x:c>
      <x:c r="N38" s="70" t="str">
        <x:f>IF(L38="AGREE","independent agreement","joint resolution 2026-08-10")</x:f>
        <x:v>independent agreement</x:v>
      </x:c>
    </x:row>
    <x:row r="39" ht="24" hidden="0" customHeight="1">
      <x:c r="A39" s="45" t="str">
        <x:v>SF-007-P03</x:v>
      </x:c>
      <x:c r="B39" s="45" t="str">
        <x:v>SF-007</x:v>
      </x:c>
      <x:c r="C39" s="45" t="str">
        <x:v>Scent would be a concern for people nearby in a shared space.</x:v>
      </x:c>
      <x:c r="D39" s="46" t="str">
        <x:v>supported</x:v>
      </x:c>
      <x:c r="E39" s="45" t="str">
        <x:v>The source directly states that scent would concern the participant because of people nearby in a shared space.</x:v>
      </x:c>
      <x:c r="F39" s="45" t="n">
        <x:v>3</x:v>
      </x:c>
      <x:c r="G39" s="45" t="str">
        <x:v>2026-08-09T19:36:12+0800</x:v>
      </x:c>
      <x:c r="H39" s="46" t="str">
        <x:v>supported</x:v>
      </x:c>
      <x:c r="I39" s="45" t="str">
        <x:v>The source ties scent directly to concern about nearby people in shared space.</x:v>
      </x:c>
      <x:c r="J39" s="45" t="n">
        <x:v>3</x:v>
      </x:c>
      <x:c r="K39" s="45" t="str">
        <x:v>2026-08-09T20:49:20+0800</x:v>
      </x:c>
      <x:c r="L39" s="47" t="str">
        <x:f>IF(D39=H39,"AGREE","DISAGREE")</x:f>
        <x:v>AGREE</x:v>
      </x:c>
      <x:c r="M39" s="70" t="str">
        <x:f>IF(L39="AGREE",D39,IF(A39="SF-008-P02","unsupported",""))</x:f>
        <x:v>supported</x:v>
      </x:c>
      <x:c r="N39" s="70" t="str">
        <x:f>IF(L39="AGREE","independent agreement","joint resolution 2026-08-10")</x:f>
        <x:v>independent agreement</x:v>
      </x:c>
    </x:row>
    <x:row r="40" ht="24" hidden="0" customHeight="1">
      <x:c r="A40" s="45" t="str">
        <x:v>SF-008-P01</x:v>
      </x:c>
      <x:c r="B40" s="45" t="str">
        <x:v>SF-008</x:v>
      </x:c>
      <x:c r="C40" s="45" t="str">
        <x:v>The described experience occurred on a crowded train.</x:v>
      </x:c>
      <x:c r="D40" s="46" t="str">
        <x:v>supported</x:v>
      </x:c>
      <x:c r="E40" s="45" t="str">
        <x:v>The participant source explicitly begins with the experience occurring on a crowded train.</x:v>
      </x:c>
      <x:c r="F40" s="45" t="n">
        <x:v>3</x:v>
      </x:c>
      <x:c r="G40" s="45" t="str">
        <x:v>2026-08-09T19:37:47+0800</x:v>
      </x:c>
      <x:c r="H40" s="46" t="str">
        <x:v>supported</x:v>
      </x:c>
      <x:c r="I40" s="45" t="str">
        <x:v>Location/context matches the source: the event is on a crowded train.</x:v>
      </x:c>
      <x:c r="J40" s="45" t="n">
        <x:v>3</x:v>
      </x:c>
      <x:c r="K40" s="45" t="str">
        <x:v>2026-08-09T20:50:34+0800</x:v>
      </x:c>
      <x:c r="L40" s="47" t="str">
        <x:f>IF(D40=H40,"AGREE","DISAGREE")</x:f>
        <x:v>AGREE</x:v>
      </x:c>
      <x:c r="M40" s="70" t="str">
        <x:f>IF(L40="AGREE",D40,IF(A40="SF-008-P02","unsupported",""))</x:f>
        <x:v>supported</x:v>
      </x:c>
      <x:c r="N40" s="70" t="str">
        <x:f>IF(L40="AGREE","independent agreement","joint resolution 2026-08-10")</x:f>
        <x:v>independent agreement</x:v>
      </x:c>
    </x:row>
    <x:row r="41" ht="48" hidden="0" customHeight="1">
      <x:c r="A41" s="45" t="str">
        <x:v>SF-008-P02</x:v>
      </x:c>
      <x:c r="B41" s="45" t="str">
        <x:v>SF-008</x:v>
      </x:c>
      <x:c r="C41" s="45" t="str">
        <x:v>The participant described the experience as sensory overload.</x:v>
      </x:c>
      <x:c r="D41" s="46" t="str">
        <x:v>unsupported</x:v>
      </x:c>
      <x:c r="E41" s="45" t="str">
        <x:v>The source describes feeling trapped and overwhelmed but does not state or clearly establish the category 'sensory overload'. I would not treat that interpretive label as source-supported.</x:v>
      </x:c>
      <x:c r="F41" s="45" t="n">
        <x:v>3</x:v>
      </x:c>
      <x:c r="G41" s="45" t="str">
        <x:v>2026-08-09T19:40:45+0800</x:v>
      </x:c>
      <x:c r="H41" s="46" t="str">
        <x:v>supported</x:v>
      </x:c>
      <x:c r="I41" s="45" t="str">
        <x:v>The source does not use the term 'sensory overload', but it describes alarms, noise and crowding together with feeling trapped and overwhelmed. I read the proposition as a concise description of that experience rather than as a separate factual claim.</x:v>
      </x:c>
      <x:c r="J41" s="45" t="n">
        <x:v>2</x:v>
      </x:c>
      <x:c r="K41" s="45" t="str">
        <x:v>2026-08-09T20:53:05+0800</x:v>
      </x:c>
      <x:c r="L41" s="47" t="str">
        <x:f>IF(D41=H41,"AGREE","DISAGREE")</x:f>
        <x:v>DISAGREE</x:v>
      </x:c>
      <x:c r="M41" s="70" t="str">
        <x:f>IF(L41="AGREE",D41,IF(A41="SF-008-P02","unsupported",""))</x:f>
        <x:v>unsupported</x:v>
      </x:c>
      <x:c r="N41" s="70" t="str">
        <x:f>IF(L41="AGREE","independent agreement","joint resolution 2026-08-10")</x:f>
        <x:v>joint resolution 2026-08-10</x:v>
      </x:c>
    </x:row>
    <x:row r="42" ht="24" hidden="0" customHeight="1">
      <x:c r="A42" s="45" t="str">
        <x:v>SF-008-P03</x:v>
      </x:c>
      <x:c r="B42" s="45" t="str">
        <x:v>SF-008</x:v>
      </x:c>
      <x:c r="C42" s="45" t="str">
        <x:v>Alarms made the participant feel trapped.</x:v>
      </x:c>
      <x:c r="D42" s="46" t="str">
        <x:v>unsupported</x:v>
      </x:c>
      <x:c r="E42" s="45" t="str">
        <x:v>The alarms are only reported as sounding; the causal clause attributes feeling trapped to noise and crowding.</x:v>
      </x:c>
      <x:c r="F42" s="45" t="n">
        <x:v>3</x:v>
      </x:c>
      <x:c r="G42" s="45" t="str">
        <x:v>2026-08-09T19:43:19+0800</x:v>
      </x:c>
      <x:c r="H42" s="46" t="str">
        <x:v>unsupported</x:v>
      </x:c>
      <x:c r="I42" s="45" t="str">
        <x:v>Alarm sounding is only concurrent context. The causal wording names noise and crowding instead.</x:v>
      </x:c>
      <x:c r="J42" s="45" t="n">
        <x:v>3</x:v>
      </x:c>
      <x:c r="K42" s="45" t="str">
        <x:v>2026-08-09T20:55:13+0800</x:v>
      </x:c>
      <x:c r="L42" s="47" t="str">
        <x:f>IF(D42=H42,"AGREE","DISAGREE")</x:f>
        <x:v>AGREE</x:v>
      </x:c>
      <x:c r="M42" s="70" t="str">
        <x:f>IF(L42="AGREE",D42,IF(A42="SF-008-P02","unsupported",""))</x:f>
        <x:v>unsupported</x:v>
      </x:c>
      <x:c r="N42" s="70" t="str">
        <x:f>IF(L42="AGREE","independent agreement","joint resolution 2026-08-10")</x:f>
        <x:v>independent agreement</x:v>
      </x:c>
    </x:row>
    <x:row r="43" ht="24" hidden="0" customHeight="1">
      <x:c r="A43" s="45" t="str">
        <x:v>SF-008-P04</x:v>
      </x:c>
      <x:c r="B43" s="45" t="str">
        <x:v>SF-008</x:v>
      </x:c>
      <x:c r="C43" s="45" t="str">
        <x:v>Noise made the participant feel trapped.</x:v>
      </x:c>
      <x:c r="D43" s="46" t="str">
        <x:v>supported</x:v>
      </x:c>
      <x:c r="E43" s="45" t="str">
        <x:v>The source explicitly identifies noise as part of what made the participant feel trapped.</x:v>
      </x:c>
      <x:c r="F43" s="45" t="n">
        <x:v>2</x:v>
      </x:c>
      <x:c r="G43" s="45" t="str">
        <x:v>2026-08-09T19:45:25+0800</x:v>
      </x:c>
      <x:c r="H43" s="46" t="str">
        <x:v>supported</x:v>
      </x:c>
      <x:c r="I43" s="45" t="str">
        <x:v>Noise appears inside the source's causal statement for feeling trapped.</x:v>
      </x:c>
      <x:c r="J43" s="45" t="n">
        <x:v>3</x:v>
      </x:c>
      <x:c r="K43" s="45" t="str">
        <x:v>2026-08-09T20:57:04+0800</x:v>
      </x:c>
      <x:c r="L43" s="47" t="str">
        <x:f>IF(D43=H43,"AGREE","DISAGREE")</x:f>
        <x:v>AGREE</x:v>
      </x:c>
      <x:c r="M43" s="70" t="str">
        <x:f>IF(L43="AGREE",D43,IF(A43="SF-008-P02","unsupported",""))</x:f>
        <x:v>supported</x:v>
      </x:c>
      <x:c r="N43" s="70" t="str">
        <x:f>IF(L43="AGREE","independent agreement","joint resolution 2026-08-10")</x:f>
        <x:v>independent agreement</x:v>
      </x:c>
    </x:row>
    <x:row r="44" ht="24" hidden="0" customHeight="1">
      <x:c r="A44" s="45" t="str">
        <x:v>SF-008-P05</x:v>
      </x:c>
      <x:c r="B44" s="45" t="str">
        <x:v>SF-008</x:v>
      </x:c>
      <x:c r="C44" s="45" t="str">
        <x:v>Crowding made the participant feel trapped.</x:v>
      </x:c>
      <x:c r="D44" s="46" t="str">
        <x:v>supported</x:v>
      </x:c>
      <x:c r="E44" s="45" t="str">
        <x:v>Crowding is explicitly identified in the causal phrase describing what made the participant feel trapped.</x:v>
      </x:c>
      <x:c r="F44" s="45" t="n">
        <x:v>2</x:v>
      </x:c>
      <x:c r="G44" s="45" t="str">
        <x:v>2026-08-09T19:47:26+0800</x:v>
      </x:c>
      <x:c r="H44" s="46" t="str">
        <x:v>supported</x:v>
      </x:c>
      <x:c r="I44" s="45" t="str">
        <x:v>Crowding appears inside the source's causal statement for feeling trapped.</x:v>
      </x:c>
      <x:c r="J44" s="45" t="n">
        <x:v>3</x:v>
      </x:c>
      <x:c r="K44" s="45" t="str">
        <x:v>2026-08-09T20:58:50+0800</x:v>
      </x:c>
      <x:c r="L44" s="47" t="str">
        <x:f>IF(D44=H44,"AGREE","DISAGREE")</x:f>
        <x:v>AGREE</x:v>
      </x:c>
      <x:c r="M44" s="70" t="str">
        <x:f>IF(L44="AGREE",D44,IF(A44="SF-008-P02","unsupported",""))</x:f>
        <x:v>supported</x:v>
      </x:c>
      <x:c r="N44" s="70" t="str">
        <x:f>IF(L44="AGREE","independent agreement","joint resolution 2026-08-10")</x:f>
        <x:v>independent agreement</x:v>
      </x:c>
    </x:row>
    <x:row r="45" ht="24" hidden="0" customHeight="1">
      <x:c r="A45" s="45" t="str">
        <x:v>SF-008-P06</x:v>
      </x:c>
      <x:c r="B45" s="45" t="str">
        <x:v>SF-008</x:v>
      </x:c>
      <x:c r="C45" s="45" t="str">
        <x:v>Alarms made the participant feel overwhelmed.</x:v>
      </x:c>
      <x:c r="D45" s="46" t="str">
        <x:v>unsupported</x:v>
      </x:c>
      <x:c r="E45" s="45" t="str">
        <x:v>The source says alarms sounded, but it does not attribute the participant's feeling overwhelmed to the alarms.</x:v>
      </x:c>
      <x:c r="F45" s="45" t="n">
        <x:v>3</x:v>
      </x:c>
      <x:c r="G45" s="45" t="str">
        <x:v>2026-08-09T19:50:06+0800</x:v>
      </x:c>
      <x:c r="H45" s="46" t="str">
        <x:v>unsupported</x:v>
      </x:c>
      <x:c r="I45" s="45" t="str">
        <x:v>Alarm sounding is concurrent context, not a stated cause of feeling overwhelmed.</x:v>
      </x:c>
      <x:c r="J45" s="45" t="n">
        <x:v>3</x:v>
      </x:c>
      <x:c r="K45" s="45" t="str">
        <x:v>2026-08-09T21:01:07+0800</x:v>
      </x:c>
      <x:c r="L45" s="47" t="str">
        <x:f>IF(D45=H45,"AGREE","DISAGREE")</x:f>
        <x:v>AGREE</x:v>
      </x:c>
      <x:c r="M45" s="70" t="str">
        <x:f>IF(L45="AGREE",D45,IF(A45="SF-008-P02","unsupported",""))</x:f>
        <x:v>unsupported</x:v>
      </x:c>
      <x:c r="N45" s="70" t="str">
        <x:f>IF(L45="AGREE","independent agreement","joint resolution 2026-08-10")</x:f>
        <x:v>independent agreement</x:v>
      </x:c>
    </x:row>
    <x:row r="46" ht="24" hidden="0" customHeight="1">
      <x:c r="A46" s="45" t="str">
        <x:v>SF-008-P07</x:v>
      </x:c>
      <x:c r="B46" s="45" t="str">
        <x:v>SF-008</x:v>
      </x:c>
      <x:c r="C46" s="45" t="str">
        <x:v>Noise made the participant feel overwhelmed.</x:v>
      </x:c>
      <x:c r="D46" s="46" t="str">
        <x:v>supported</x:v>
      </x:c>
      <x:c r="E46" s="45" t="str">
        <x:v>Noise is explicitly named as part of what made the participant feel overwhelmed.</x:v>
      </x:c>
      <x:c r="F46" s="45" t="n">
        <x:v>2</x:v>
      </x:c>
      <x:c r="G46" s="45" t="str">
        <x:v>2026-08-09T19:52:04+0800</x:v>
      </x:c>
      <x:c r="H46" s="46" t="str">
        <x:v>supported</x:v>
      </x:c>
      <x:c r="I46" s="45" t="str">
        <x:v>Noise appears inside the source's causal statement for feeling overwhelmed.</x:v>
      </x:c>
      <x:c r="J46" s="45" t="n">
        <x:v>3</x:v>
      </x:c>
      <x:c r="K46" s="45" t="str">
        <x:v>2026-08-09T21:02:49+0800</x:v>
      </x:c>
      <x:c r="L46" s="47" t="str">
        <x:f>IF(D46=H46,"AGREE","DISAGREE")</x:f>
        <x:v>AGREE</x:v>
      </x:c>
      <x:c r="M46" s="70" t="str">
        <x:f>IF(L46="AGREE",D46,IF(A46="SF-008-P02","unsupported",""))</x:f>
        <x:v>supported</x:v>
      </x:c>
      <x:c r="N46" s="70" t="str">
        <x:f>IF(L46="AGREE","independent agreement","joint resolution 2026-08-10")</x:f>
        <x:v>independent agreement</x:v>
      </x:c>
    </x:row>
    <x:row r="47" ht="24" hidden="0" customHeight="1">
      <x:c r="A47" s="45" t="str">
        <x:v>SF-008-P08</x:v>
      </x:c>
      <x:c r="B47" s="45" t="str">
        <x:v>SF-008</x:v>
      </x:c>
      <x:c r="C47" s="45" t="str">
        <x:v>Crowding made the participant feel overwhelmed.</x:v>
      </x:c>
      <x:c r="D47" s="46" t="str">
        <x:v>supported</x:v>
      </x:c>
      <x:c r="E47" s="45" t="str">
        <x:v>Crowding is explicitly named as part of what made the participant feel overwhelmed.</x:v>
      </x:c>
      <x:c r="F47" s="45" t="n">
        <x:v>2</x:v>
      </x:c>
      <x:c r="G47" s="45" t="str">
        <x:v>2026-08-09T19:53:59+0800</x:v>
      </x:c>
      <x:c r="H47" s="46" t="str">
        <x:v>supported</x:v>
      </x:c>
      <x:c r="I47" s="45" t="str">
        <x:v>Crowding appears inside the source's causal statement for feeling overwhelmed.</x:v>
      </x:c>
      <x:c r="J47" s="45" t="n">
        <x:v>3</x:v>
      </x:c>
      <x:c r="K47" s="45" t="str">
        <x:v>2026-08-09T21:04:27+0800</x:v>
      </x:c>
      <x:c r="L47" s="47" t="str">
        <x:f>IF(D47=H47,"AGREE","DISAGREE")</x:f>
        <x:v>AGREE</x:v>
      </x:c>
      <x:c r="M47" s="70" t="str">
        <x:f>IF(L47="AGREE",D47,IF(A47="SF-008-P02","unsupported",""))</x:f>
        <x:v>supported</x:v>
      </x:c>
      <x:c r="N47" s="70" t="str">
        <x:f>IF(L47="AGREE","independent agreement","joint resolution 2026-08-10")</x:f>
        <x:v>independent agreement</x:v>
      </x:c>
    </x:row>
    <x:row r="48" ht="24" hidden="0" customHeight="1">
      <x:c r="A48" s="45" t="str">
        <x:v>SF-009-P01</x:v>
      </x:c>
      <x:c r="B48" s="45" t="str">
        <x:v>SF-009</x:v>
      </x:c>
      <x:c r="C48" s="45" t="str">
        <x:v>The participant might use the referenced item ("it") while commuting if it looked discreet and made no sound.</x:v>
      </x:c>
      <x:c r="D48" s="46" t="str">
        <x:v>supported</x:v>
      </x:c>
      <x:c r="E48" s="45" t="str">
        <x:v>The participant directly says they might use it while commuting if it looked discreet and made no sound.</x:v>
      </x:c>
      <x:c r="F48" s="45" t="n">
        <x:v>3</x:v>
      </x:c>
      <x:c r="G48" s="45" t="str">
        <x:v>2026-08-09T19:55:28+0800</x:v>
      </x:c>
      <x:c r="H48" s="46" t="str">
        <x:v>supported</x:v>
      </x:c>
      <x:c r="I48" s="45" t="str">
        <x:v>Conditional commuting use is supported by the same two constraints: discreet and silent.</x:v>
      </x:c>
      <x:c r="J48" s="45" t="n">
        <x:v>3</x:v>
      </x:c>
      <x:c r="K48" s="45" t="str">
        <x:v>2026-08-09T21:05:36+0800</x:v>
      </x:c>
      <x:c r="L48" s="47" t="str">
        <x:f>IF(D48=H48,"AGREE","DISAGREE")</x:f>
        <x:v>AGREE</x:v>
      </x:c>
      <x:c r="M48" s="70" t="str">
        <x:f>IF(L48="AGREE",D48,IF(A48="SF-008-P02","unsupported",""))</x:f>
        <x:v>supported</x:v>
      </x:c>
      <x:c r="N48" s="70" t="str">
        <x:f>IF(L48="AGREE","independent agreement","joint resolution 2026-08-10")</x:f>
        <x:v>independent agreement</x:v>
      </x:c>
    </x:row>
    <x:row r="49" ht="24" hidden="0" customHeight="1">
      <x:c r="A49" s="45" t="str">
        <x:v>SF-009-P02</x:v>
      </x:c>
      <x:c r="B49" s="45" t="str">
        <x:v>SF-009</x:v>
      </x:c>
      <x:c r="C49" s="45" t="str">
        <x:v>Obvious lights would embarrass the participant.</x:v>
      </x:c>
      <x:c r="D49" s="46" t="str">
        <x:v>supported</x:v>
      </x:c>
      <x:c r="E49" s="45" t="str">
        <x:v>The source explicitly states that obvious lights would embarrass the participant.</x:v>
      </x:c>
      <x:c r="F49" s="45" t="n">
        <x:v>3</x:v>
      </x:c>
      <x:c r="G49" s="45" t="str">
        <x:v>2026-08-09T19:57:10+0800</x:v>
      </x:c>
      <x:c r="H49" s="46" t="str">
        <x:v>supported</x:v>
      </x:c>
      <x:c r="I49" s="45" t="str">
        <x:v>Obvious lights are directly linked to embarrassment in the source.</x:v>
      </x:c>
      <x:c r="J49" s="45" t="n">
        <x:v>3</x:v>
      </x:c>
      <x:c r="K49" s="45" t="str">
        <x:v>2026-08-09T21:07:02+0800</x:v>
      </x:c>
      <x:c r="L49" s="47" t="str">
        <x:f>IF(D49=H49,"AGREE","DISAGREE")</x:f>
        <x:v>AGREE</x:v>
      </x:c>
      <x:c r="M49" s="70" t="str">
        <x:f>IF(L49="AGREE",D49,IF(A49="SF-008-P02","unsupported",""))</x:f>
        <x:v>supported</x:v>
      </x:c>
      <x:c r="N49" s="70" t="str">
        <x:f>IF(L49="AGREE","independent agreement","joint resolution 2026-08-10")</x:f>
        <x:v>independent agreement</x:v>
      </x:c>
    </x:row>
    <x:row r="50" ht="24" hidden="0" customHeight="1">
      <x:c r="A50" s="45" t="str">
        <x:v>SF-009-P03</x:v>
      </x:c>
      <x:c r="B50" s="45" t="str">
        <x:v>SF-009</x:v>
      </x:c>
      <x:c r="C50" s="45" t="str">
        <x:v>Scent would be a concern for people nearby in a shared space.</x:v>
      </x:c>
      <x:c r="D50" s="46" t="str">
        <x:v>supported</x:v>
      </x:c>
      <x:c r="E50" s="45" t="str">
        <x:v>The participant directly says scent would be a concern for people nearby in a shared space.</x:v>
      </x:c>
      <x:c r="F50" s="45" t="n">
        <x:v>3</x:v>
      </x:c>
      <x:c r="G50" s="45" t="str">
        <x:v>2026-08-09T19:59:05+0800</x:v>
      </x:c>
      <x:c r="H50" s="46" t="str">
        <x:v>supported</x:v>
      </x:c>
      <x:c r="I50" s="45" t="str">
        <x:v>Scent is directly linked to concern for nearby people in the shared-space context.</x:v>
      </x:c>
      <x:c r="J50" s="45" t="n">
        <x:v>3</x:v>
      </x:c>
      <x:c r="K50" s="45" t="str">
        <x:v>2026-08-09T21:08:16+0800</x:v>
      </x:c>
      <x:c r="L50" s="47" t="str">
        <x:f>IF(D50=H50,"AGREE","DISAGREE")</x:f>
        <x:v>AGREE</x:v>
      </x:c>
      <x:c r="M50" s="70" t="str">
        <x:f>IF(L50="AGREE",D50,IF(A50="SF-008-P02","unsupported",""))</x:f>
        <x:v>supported</x:v>
      </x:c>
      <x:c r="N50" s="70" t="str">
        <x:f>IF(L50="AGREE","independent agreement","joint resolution 2026-08-10")</x:f>
        <x:v>independent agreement</x:v>
      </x:c>
    </x:row>
  </x:sheetData>
  <x:mergeCells>
    <x:mergeCell ref="A1:L1"/>
    <x:mergeCell ref="A2:L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55" hidden="0" customWidth="1"/>
    <x:col min="4" max="4" width="11" hidden="0" customWidth="1"/>
    <x:col min="5" max="5" width="15" hidden="0" customWidth="1"/>
    <x:col min="6" max="6" width="15" hidden="0" customWidth="1"/>
    <x:col min="7" max="7" width="15" hidden="0" customWidth="1"/>
    <x:col min="8" max="8" width="18" hidden="0" customWidth="1"/>
  </x:cols>
  <x:sheetData>
    <x:row r="1" ht="19.200000762939453" hidden="0" customHeight="1">
      <x:c r="A1" s="3" t="str">
        <x:v>Sensitivity analysis — 27 unique proposition texts</x:v>
      </x:c>
      <x:c r="B1" s="3"/>
      <x:c r="C1" s="3"/>
      <x:c r="D1" s="3"/>
      <x:c r="E1" s="3"/>
      <x:c r="F1" s="3"/>
      <x:c r="G1" s="3"/>
    </x:row>
    <x:row r="2" ht="15" hidden="0" customHeight="1">
      <x:c r="A2" t="str">
        <x:v>Duplicate-looking blind items remain in the primary 46-row analysis. This sheet reports unique text once to show duplication sensitivity.</x:v>
      </x:c>
    </x:row>
    <x:row r="3"/>
    <x:row r="4" ht="15" hidden="0" customHeight="1">
      <x:c r="A4" s="36" t="str">
        <x:v>Representative ID</x:v>
      </x:c>
      <x:c r="B4" s="37" t="str">
        <x:v>All proposition IDs</x:v>
      </x:c>
      <x:c r="C4" s="37" t="str">
        <x:v>Atomic proposition</x:v>
      </x:c>
      <x:c r="D4" s="37" t="str">
        <x:v>Occurrences</x:v>
      </x:c>
      <x:c r="E4" s="37" t="str">
        <x:v>Coder01 label</x:v>
      </x:c>
      <x:c r="F4" s="37" t="str">
        <x:v>Coder02 label</x:v>
      </x:c>
      <x:c r="G4" s="38" t="str">
        <x:v>Agreement</x:v>
      </x:c>
      <x:c r="H4" s="69" t="str">
        <x:v>Final label</x:v>
      </x:c>
    </x:row>
    <x:row r="5" ht="15" hidden="0" customHeight="1">
      <x:c r="A5" s="45" t="str">
        <x:v>SF-001-P01</x:v>
      </x:c>
      <x:c r="B5" s="45" t="str">
        <x:v>SF-001-P01, SF-005-P01</x:v>
      </x:c>
      <x:c r="C5" s="45" t="str">
        <x:v>Sharp braking noise was one of the participant's strongest triggers.</x:v>
      </x:c>
      <x:c r="D5" s="45" t="n">
        <x:v>2</x:v>
      </x:c>
      <x:c r="E5" s="45" t="str">
        <x:v>supported</x:v>
      </x:c>
      <x:c r="F5" s="45" t="str">
        <x:v>supported</x:v>
      </x:c>
      <x:c r="G5" s="45" t="str">
        <x:f>IF(E5=F5,"AGREE","DISAGREE")</x:f>
        <x:v>AGREE</x:v>
      </x:c>
      <x:c r="H5" t="str">
        <x:f>IF(G5="AGREE",E5,IF(A5="SF-008-P02","unsupported",""))</x:f>
        <x:v>supported</x:v>
      </x:c>
    </x:row>
    <x:row r="6" ht="15" hidden="0" customHeight="1">
      <x:c r="A6" s="45" t="str">
        <x:v>SF-001-P02</x:v>
      </x:c>
      <x:c r="B6" s="45" t="str">
        <x:v>SF-001-P02, SF-005-P02</x:v>
      </x:c>
      <x:c r="C6" s="45" t="str">
        <x:v>Flashing carriage lights were one of the participant's strongest triggers.</x:v>
      </x:c>
      <x:c r="D6" s="45" t="n">
        <x:v>2</x:v>
      </x:c>
      <x:c r="E6" s="45" t="str">
        <x:v>supported</x:v>
      </x:c>
      <x:c r="F6" s="45" t="str">
        <x:v>supported</x:v>
      </x:c>
      <x:c r="G6" s="45" t="str">
        <x:f>IF(E6=F6,"AGREE","DISAGREE")</x:f>
        <x:v>AGREE</x:v>
      </x:c>
      <x:c r="H6" t="str">
        <x:f>IF(G6="AGREE",E6,IF(A6="SF-008-P02","unsupported",""))</x:f>
        <x:v>supported</x:v>
      </x:c>
    </x:row>
    <x:row r="7" ht="15" hidden="0" customHeight="1">
      <x:c r="A7" s="45" t="str">
        <x:v>SF-001-P03</x:v>
      </x:c>
      <x:c r="B7" s="45" t="str">
        <x:v>SF-001-P03, SF-005-P03</x:v>
      </x:c>
      <x:c r="C7" s="45" t="str">
        <x:v>Crowding was one of the participant's strongest triggers.</x:v>
      </x:c>
      <x:c r="D7" s="45" t="n">
        <x:v>2</x:v>
      </x:c>
      <x:c r="E7" s="45" t="str">
        <x:v>supported</x:v>
      </x:c>
      <x:c r="F7" s="45" t="str">
        <x:v>supported</x:v>
      </x:c>
      <x:c r="G7" s="45" t="str">
        <x:f>IF(E7=F7,"AGREE","DISAGREE")</x:f>
        <x:v>AGREE</x:v>
      </x:c>
      <x:c r="H7" t="str">
        <x:f>IF(G7="AGREE",E7,IF(A7="SF-008-P02","unsupported",""))</x:f>
        <x:v>supported</x:v>
      </x:c>
    </x:row>
    <x:row r="8" ht="15" hidden="0" customHeight="1">
      <x:c r="A8" s="45" t="str">
        <x:v>SF-001-P04</x:v>
      </x:c>
      <x:c r="B8" s="45" t="str">
        <x:v>SF-001-P04, SF-005-P04</x:v>
      </x:c>
      <x:c r="C8" s="45" t="str">
        <x:v>The participant's shoulders tightened.</x:v>
      </x:c>
      <x:c r="D8" s="45" t="n">
        <x:v>2</x:v>
      </x:c>
      <x:c r="E8" s="45" t="str">
        <x:v>supported</x:v>
      </x:c>
      <x:c r="F8" s="45" t="str">
        <x:v>supported</x:v>
      </x:c>
      <x:c r="G8" s="45" t="str">
        <x:f>IF(E8=F8,"AGREE","DISAGREE")</x:f>
        <x:v>AGREE</x:v>
      </x:c>
      <x:c r="H8" t="str">
        <x:f>IF(G8="AGREE",E8,IF(A8="SF-008-P02","unsupported",""))</x:f>
        <x:v>supported</x:v>
      </x:c>
    </x:row>
    <x:row r="9" ht="15" hidden="0" customHeight="1">
      <x:c r="A9" s="45" t="str">
        <x:v>SF-001-P05</x:v>
      </x:c>
      <x:c r="B9" s="45" t="str">
        <x:v>SF-001-P05, SF-005-P05</x:v>
      </x:c>
      <x:c r="C9" s="45" t="str">
        <x:v>The participant's heart raced.</x:v>
      </x:c>
      <x:c r="D9" s="45" t="n">
        <x:v>2</x:v>
      </x:c>
      <x:c r="E9" s="45" t="str">
        <x:v>supported</x:v>
      </x:c>
      <x:c r="F9" s="45" t="str">
        <x:v>supported</x:v>
      </x:c>
      <x:c r="G9" s="45" t="str">
        <x:f>IF(E9=F9,"AGREE","DISAGREE")</x:f>
        <x:v>AGREE</x:v>
      </x:c>
      <x:c r="H9" t="str">
        <x:f>IF(G9="AGREE",E9,IF(A9="SF-008-P02","unsupported",""))</x:f>
        <x:v>supported</x:v>
      </x:c>
    </x:row>
    <x:row r="10" ht="15" hidden="0" customHeight="1">
      <x:c r="A10" s="45" t="str">
        <x:v>SF-001-P06</x:v>
      </x:c>
      <x:c r="B10" s="45" t="str">
        <x:v>SF-001-P06, SF-005-P06</x:v>
      </x:c>
      <x:c r="C10" s="45" t="str">
        <x:v>The participant felt panicked.</x:v>
      </x:c>
      <x:c r="D10" s="45" t="n">
        <x:v>2</x:v>
      </x:c>
      <x:c r="E10" s="45" t="str">
        <x:v>supported</x:v>
      </x:c>
      <x:c r="F10" s="45" t="str">
        <x:v>supported</x:v>
      </x:c>
      <x:c r="G10" s="45" t="str">
        <x:f>IF(E10=F10,"AGREE","DISAGREE")</x:f>
        <x:v>AGREE</x:v>
      </x:c>
      <x:c r="H10" t="str">
        <x:f>IF(G10="AGREE",E10,IF(A10="SF-008-P02","unsupported",""))</x:f>
        <x:v>supported</x:v>
      </x:c>
    </x:row>
    <x:row r="11" ht="15" hidden="0" customHeight="1">
      <x:c r="A11" s="45" t="str">
        <x:v>SF-002-P01</x:v>
      </x:c>
      <x:c r="B11" s="45" t="str">
        <x:v>SF-002-P01, SF-004-P01</x:v>
      </x:c>
      <x:c r="C11" s="45" t="str">
        <x:v>The participant covered their ears.</x:v>
      </x:c>
      <x:c r="D11" s="45" t="n">
        <x:v>2</x:v>
      </x:c>
      <x:c r="E11" s="45" t="str">
        <x:v>supported</x:v>
      </x:c>
      <x:c r="F11" s="45" t="str">
        <x:v>supported</x:v>
      </x:c>
      <x:c r="G11" s="45" t="str">
        <x:f>IF(E11=F11,"AGREE","DISAGREE")</x:f>
        <x:v>AGREE</x:v>
      </x:c>
      <x:c r="H11" t="str">
        <x:f>IF(G11="AGREE",E11,IF(A11="SF-008-P02","unsupported",""))</x:f>
        <x:v>supported</x:v>
      </x:c>
    </x:row>
    <x:row r="12" ht="15" hidden="0" customHeight="1">
      <x:c r="A12" s="45" t="str">
        <x:v>SF-002-P02</x:v>
      </x:c>
      <x:c r="B12" s="45" t="str">
        <x:v>SF-002-P02, SF-004-P02</x:v>
      </x:c>
      <x:c r="C12" s="45" t="str">
        <x:v>The participant focused on slow breathing.</x:v>
      </x:c>
      <x:c r="D12" s="45" t="n">
        <x:v>2</x:v>
      </x:c>
      <x:c r="E12" s="45" t="str">
        <x:v>supported</x:v>
      </x:c>
      <x:c r="F12" s="45" t="str">
        <x:v>supported</x:v>
      </x:c>
      <x:c r="G12" s="45" t="str">
        <x:f>IF(E12=F12,"AGREE","DISAGREE")</x:f>
        <x:v>AGREE</x:v>
      </x:c>
      <x:c r="H12" t="str">
        <x:f>IF(G12="AGREE",E12,IF(A12="SF-008-P02","unsupported",""))</x:f>
        <x:v>supported</x:v>
      </x:c>
    </x:row>
    <x:row r="13" ht="15" hidden="0" customHeight="1">
      <x:c r="A13" s="45" t="str">
        <x:v>SF-002-P03</x:v>
      </x:c>
      <x:c r="B13" s="45" t="str">
        <x:v>SF-002-P03, SF-004-P03</x:v>
      </x:c>
      <x:c r="C13" s="45" t="str">
        <x:v>The participant left at the next stop.</x:v>
      </x:c>
      <x:c r="D13" s="45" t="n">
        <x:v>2</x:v>
      </x:c>
      <x:c r="E13" s="45" t="str">
        <x:v>supported</x:v>
      </x:c>
      <x:c r="F13" s="45" t="str">
        <x:v>supported</x:v>
      </x:c>
      <x:c r="G13" s="45" t="str">
        <x:f>IF(E13=F13,"AGREE","DISAGREE")</x:f>
        <x:v>AGREE</x:v>
      </x:c>
      <x:c r="H13" t="str">
        <x:f>IF(G13="AGREE",E13,IF(A13="SF-008-P02","unsupported",""))</x:f>
        <x:v>supported</x:v>
      </x:c>
    </x:row>
    <x:row r="14" ht="15" hidden="0" customHeight="1">
      <x:c r="A14" s="45" t="str">
        <x:v>SF-002-P04</x:v>
      </x:c>
      <x:c r="B14" s="45" t="str">
        <x:v>SF-002-P04, SF-004-P04</x:v>
      </x:c>
      <x:c r="C14" s="45" t="str">
        <x:v>A quieter carriage would have helped the participant.</x:v>
      </x:c>
      <x:c r="D14" s="45" t="n">
        <x:v>2</x:v>
      </x:c>
      <x:c r="E14" s="45" t="str">
        <x:v>supported</x:v>
      </x:c>
      <x:c r="F14" s="45" t="str">
        <x:v>supported</x:v>
      </x:c>
      <x:c r="G14" s="45" t="str">
        <x:f>IF(E14=F14,"AGREE","DISAGREE")</x:f>
        <x:v>AGREE</x:v>
      </x:c>
      <x:c r="H14" t="str">
        <x:f>IF(G14="AGREE",E14,IF(A14="SF-008-P02","unsupported",""))</x:f>
        <x:v>supported</x:v>
      </x:c>
    </x:row>
    <x:row r="15" ht="15" hidden="0" customHeight="1">
      <x:c r="A15" s="45" t="str">
        <x:v>SF-002-P05</x:v>
      </x:c>
      <x:c r="B15" s="45" t="str">
        <x:v>SF-002-P05, SF-004-P05</x:v>
      </x:c>
      <x:c r="C15" s="45" t="str">
        <x:v>A warning before the alarm would have helped the participant.</x:v>
      </x:c>
      <x:c r="D15" s="45" t="n">
        <x:v>2</x:v>
      </x:c>
      <x:c r="E15" s="45" t="str">
        <x:v>supported</x:v>
      </x:c>
      <x:c r="F15" s="45" t="str">
        <x:v>supported</x:v>
      </x:c>
      <x:c r="G15" s="45" t="str">
        <x:f>IF(E15=F15,"AGREE","DISAGREE")</x:f>
        <x:v>AGREE</x:v>
      </x:c>
      <x:c r="H15" t="str">
        <x:f>IF(G15="AGREE",E15,IF(A15="SF-008-P02","unsupported",""))</x:f>
        <x:v>supported</x:v>
      </x:c>
    </x:row>
    <x:row r="16" ht="15" hidden="0" customHeight="1">
      <x:c r="A16" s="45" t="str">
        <x:v>SF-002-P06</x:v>
      </x:c>
      <x:c r="B16" s="45" t="str">
        <x:v>SF-002-P06, SF-004-P06</x:v>
      </x:c>
      <x:c r="C16" s="45" t="str">
        <x:v>The repeated announcements did not help because they added more noise.</x:v>
      </x:c>
      <x:c r="D16" s="45" t="n">
        <x:v>2</x:v>
      </x:c>
      <x:c r="E16" s="45" t="str">
        <x:v>supported</x:v>
      </x:c>
      <x:c r="F16" s="45" t="str">
        <x:v>supported</x:v>
      </x:c>
      <x:c r="G16" s="45" t="str">
        <x:f>IF(E16=F16,"AGREE","DISAGREE")</x:f>
        <x:v>AGREE</x:v>
      </x:c>
      <x:c r="H16" t="str">
        <x:f>IF(G16="AGREE",E16,IF(A16="SF-008-P02","unsupported",""))</x:f>
        <x:v>supported</x:v>
      </x:c>
    </x:row>
    <x:row r="17" ht="24" hidden="0" customHeight="1">
      <x:c r="A17" s="45" t="str">
        <x:v>SF-003-P01</x:v>
      </x:c>
      <x:c r="B17" s="45" t="str">
        <x:v>SF-003-P01, SF-006-P01</x:v>
      </x:c>
      <x:c r="C17" s="45" t="str">
        <x:v>The squeeze interaction seemed useful because it would give the participant's hands a focus.</x:v>
      </x:c>
      <x:c r="D17" s="45" t="n">
        <x:v>2</x:v>
      </x:c>
      <x:c r="E17" s="45" t="str">
        <x:v>supported</x:v>
      </x:c>
      <x:c r="F17" s="45" t="str">
        <x:v>supported</x:v>
      </x:c>
      <x:c r="G17" s="45" t="str">
        <x:f>IF(E17=F17,"AGREE","DISAGREE")</x:f>
        <x:v>AGREE</x:v>
      </x:c>
      <x:c r="H17" t="str">
        <x:f>IF(G17="AGREE",E17,IF(A17="SF-008-P02","unsupported",""))</x:f>
        <x:v>supported</x:v>
      </x:c>
    </x:row>
    <x:row r="18" ht="15" hidden="0" customHeight="1">
      <x:c r="A18" s="45" t="str">
        <x:v>SF-003-P02</x:v>
      </x:c>
      <x:c r="B18" s="45" t="str">
        <x:v>SF-003-P02, SF-006-P02</x:v>
      </x:c>
      <x:c r="C18" s="45" t="str">
        <x:v>Gentle haptics might help the participant pace their breathing.</x:v>
      </x:c>
      <x:c r="D18" s="45" t="n">
        <x:v>2</x:v>
      </x:c>
      <x:c r="E18" s="45" t="str">
        <x:v>supported</x:v>
      </x:c>
      <x:c r="F18" s="45" t="str">
        <x:v>supported</x:v>
      </x:c>
      <x:c r="G18" s="45" t="str">
        <x:f>IF(E18=F18,"AGREE","DISAGREE")</x:f>
        <x:v>AGREE</x:v>
      </x:c>
      <x:c r="H18" t="str">
        <x:f>IF(G18="AGREE",E18,IF(A18="SF-008-P02","unsupported",""))</x:f>
        <x:v>supported</x:v>
      </x:c>
    </x:row>
    <x:row r="19" ht="15" hidden="0" customHeight="1">
      <x:c r="A19" s="45" t="str">
        <x:v>SF-003-P03</x:v>
      </x:c>
      <x:c r="B19" s="45" t="str">
        <x:v>SF-003-P03, SF-006-P03</x:v>
      </x:c>
      <x:c r="C19" s="45" t="str">
        <x:v>The participant would avoid scent because it could be another trigger.</x:v>
      </x:c>
      <x:c r="D19" s="45" t="n">
        <x:v>2</x:v>
      </x:c>
      <x:c r="E19" s="45" t="str">
        <x:v>supported</x:v>
      </x:c>
      <x:c r="F19" s="45" t="str">
        <x:v>supported</x:v>
      </x:c>
      <x:c r="G19" s="45" t="str">
        <x:f>IF(E19=F19,"AGREE","DISAGREE")</x:f>
        <x:v>AGREE</x:v>
      </x:c>
      <x:c r="H19" t="str">
        <x:f>IF(G19="AGREE",E19,IF(A19="SF-008-P02","unsupported",""))</x:f>
        <x:v>supported</x:v>
      </x:c>
    </x:row>
    <x:row r="20" ht="15" hidden="0" customHeight="1">
      <x:c r="A20" s="45" t="str">
        <x:v>SF-003-P04</x:v>
      </x:c>
      <x:c r="B20" s="45" t="str">
        <x:v>SF-003-P04, SF-006-P04</x:v>
      </x:c>
      <x:c r="C20" s="45" t="str">
        <x:v>The participant wanted every feature to be optional.</x:v>
      </x:c>
      <x:c r="D20" s="45" t="n">
        <x:v>2</x:v>
      </x:c>
      <x:c r="E20" s="45" t="str">
        <x:v>supported</x:v>
      </x:c>
      <x:c r="F20" s="45" t="str">
        <x:v>supported</x:v>
      </x:c>
      <x:c r="G20" s="45" t="str">
        <x:f>IF(E20=F20,"AGREE","DISAGREE")</x:f>
        <x:v>AGREE</x:v>
      </x:c>
      <x:c r="H20" t="str">
        <x:f>IF(G20="AGREE",E20,IF(A20="SF-008-P02","unsupported",""))</x:f>
        <x:v>supported</x:v>
      </x:c>
    </x:row>
    <x:row r="21" ht="24" hidden="0" customHeight="1">
      <x:c r="A21" s="45" t="str">
        <x:v>SF-007-P01</x:v>
      </x:c>
      <x:c r="B21" s="45" t="str">
        <x:v>SF-007-P01, SF-009-P01</x:v>
      </x:c>
      <x:c r="C21" s="45" t="str">
        <x:v>The participant might use the referenced item ("it") while commuting if it looked discreet and made no sound.</x:v>
      </x:c>
      <x:c r="D21" s="45" t="n">
        <x:v>2</x:v>
      </x:c>
      <x:c r="E21" s="45" t="str">
        <x:v>supported</x:v>
      </x:c>
      <x:c r="F21" s="45" t="str">
        <x:v>supported</x:v>
      </x:c>
      <x:c r="G21" s="45" t="str">
        <x:f>IF(E21=F21,"AGREE","DISAGREE")</x:f>
        <x:v>AGREE</x:v>
      </x:c>
      <x:c r="H21" t="str">
        <x:f>IF(G21="AGREE",E21,IF(A21="SF-008-P02","unsupported",""))</x:f>
        <x:v>supported</x:v>
      </x:c>
    </x:row>
    <x:row r="22" ht="15" hidden="0" customHeight="1">
      <x:c r="A22" s="45" t="str">
        <x:v>SF-007-P02</x:v>
      </x:c>
      <x:c r="B22" s="45" t="str">
        <x:v>SF-007-P02, SF-009-P02</x:v>
      </x:c>
      <x:c r="C22" s="45" t="str">
        <x:v>Obvious lights would embarrass the participant.</x:v>
      </x:c>
      <x:c r="D22" s="45" t="n">
        <x:v>2</x:v>
      </x:c>
      <x:c r="E22" s="45" t="str">
        <x:v>supported</x:v>
      </x:c>
      <x:c r="F22" s="45" t="str">
        <x:v>supported</x:v>
      </x:c>
      <x:c r="G22" s="45" t="str">
        <x:f>IF(E22=F22,"AGREE","DISAGREE")</x:f>
        <x:v>AGREE</x:v>
      </x:c>
      <x:c r="H22" t="str">
        <x:f>IF(G22="AGREE",E22,IF(A22="SF-008-P02","unsupported",""))</x:f>
        <x:v>supported</x:v>
      </x:c>
    </x:row>
    <x:row r="23" ht="15" hidden="0" customHeight="1">
      <x:c r="A23" s="45" t="str">
        <x:v>SF-007-P03</x:v>
      </x:c>
      <x:c r="B23" s="45" t="str">
        <x:v>SF-007-P03, SF-009-P03</x:v>
      </x:c>
      <x:c r="C23" s="45" t="str">
        <x:v>Scent would be a concern for people nearby in a shared space.</x:v>
      </x:c>
      <x:c r="D23" s="45" t="n">
        <x:v>2</x:v>
      </x:c>
      <x:c r="E23" s="45" t="str">
        <x:v>supported</x:v>
      </x:c>
      <x:c r="F23" s="45" t="str">
        <x:v>supported</x:v>
      </x:c>
      <x:c r="G23" s="45" t="str">
        <x:f>IF(E23=F23,"AGREE","DISAGREE")</x:f>
        <x:v>AGREE</x:v>
      </x:c>
      <x:c r="H23" t="str">
        <x:f>IF(G23="AGREE",E23,IF(A23="SF-008-P02","unsupported",""))</x:f>
        <x:v>supported</x:v>
      </x:c>
    </x:row>
    <x:row r="24" ht="15" hidden="0" customHeight="1">
      <x:c r="A24" s="45" t="str">
        <x:v>SF-008-P01</x:v>
      </x:c>
      <x:c r="B24" s="45" t="str">
        <x:v>SF-008-P01</x:v>
      </x:c>
      <x:c r="C24" s="45" t="str">
        <x:v>The described experience occurred on a crowded train.</x:v>
      </x:c>
      <x:c r="D24" s="45" t="n">
        <x:v>1</x:v>
      </x:c>
      <x:c r="E24" s="45" t="str">
        <x:v>supported</x:v>
      </x:c>
      <x:c r="F24" s="45" t="str">
        <x:v>supported</x:v>
      </x:c>
      <x:c r="G24" s="45" t="str">
        <x:f>IF(E24=F24,"AGREE","DISAGREE")</x:f>
        <x:v>AGREE</x:v>
      </x:c>
      <x:c r="H24" t="str">
        <x:f>IF(G24="AGREE",E24,IF(A24="SF-008-P02","unsupported",""))</x:f>
        <x:v>supported</x:v>
      </x:c>
    </x:row>
    <x:row r="25" ht="15" hidden="0" customHeight="1">
      <x:c r="A25" s="45" t="str">
        <x:v>SF-008-P02</x:v>
      </x:c>
      <x:c r="B25" s="45" t="str">
        <x:v>SF-008-P02</x:v>
      </x:c>
      <x:c r="C25" s="45" t="str">
        <x:v>The participant described the experience as sensory overload.</x:v>
      </x:c>
      <x:c r="D25" s="45" t="n">
        <x:v>1</x:v>
      </x:c>
      <x:c r="E25" s="45" t="str">
        <x:v>unsupported</x:v>
      </x:c>
      <x:c r="F25" s="45" t="str">
        <x:v>supported</x:v>
      </x:c>
      <x:c r="G25" s="45" t="str">
        <x:f>IF(E25=F25,"AGREE","DISAGREE")</x:f>
        <x:v>DISAGREE</x:v>
      </x:c>
      <x:c r="H25" t="str">
        <x:f>IF(G25="AGREE",E25,IF(A25="SF-008-P02","unsupported",""))</x:f>
        <x:v>unsupported</x:v>
      </x:c>
    </x:row>
    <x:row r="26" ht="15" hidden="0" customHeight="1">
      <x:c r="A26" s="45" t="str">
        <x:v>SF-008-P03</x:v>
      </x:c>
      <x:c r="B26" s="45" t="str">
        <x:v>SF-008-P03</x:v>
      </x:c>
      <x:c r="C26" s="45" t="str">
        <x:v>Alarms made the participant feel trapped.</x:v>
      </x:c>
      <x:c r="D26" s="45" t="n">
        <x:v>1</x:v>
      </x:c>
      <x:c r="E26" s="45" t="str">
        <x:v>unsupported</x:v>
      </x:c>
      <x:c r="F26" s="45" t="str">
        <x:v>unsupported</x:v>
      </x:c>
      <x:c r="G26" s="45" t="str">
        <x:f>IF(E26=F26,"AGREE","DISAGREE")</x:f>
        <x:v>AGREE</x:v>
      </x:c>
      <x:c r="H26" t="str">
        <x:f>IF(G26="AGREE",E26,IF(A26="SF-008-P02","unsupported",""))</x:f>
        <x:v>unsupported</x:v>
      </x:c>
    </x:row>
    <x:row r="27" ht="15" hidden="0" customHeight="1">
      <x:c r="A27" s="45" t="str">
        <x:v>SF-008-P04</x:v>
      </x:c>
      <x:c r="B27" s="45" t="str">
        <x:v>SF-008-P04</x:v>
      </x:c>
      <x:c r="C27" s="45" t="str">
        <x:v>Noise made the participant feel trapped.</x:v>
      </x:c>
      <x:c r="D27" s="45" t="n">
        <x:v>1</x:v>
      </x:c>
      <x:c r="E27" s="45" t="str">
        <x:v>supported</x:v>
      </x:c>
      <x:c r="F27" s="45" t="str">
        <x:v>supported</x:v>
      </x:c>
      <x:c r="G27" s="45" t="str">
        <x:f>IF(E27=F27,"AGREE","DISAGREE")</x:f>
        <x:v>AGREE</x:v>
      </x:c>
      <x:c r="H27" t="str">
        <x:f>IF(G27="AGREE",E27,IF(A27="SF-008-P02","unsupported",""))</x:f>
        <x:v>supported</x:v>
      </x:c>
    </x:row>
    <x:row r="28" ht="15" hidden="0" customHeight="1">
      <x:c r="A28" s="45" t="str">
        <x:v>SF-008-P05</x:v>
      </x:c>
      <x:c r="B28" s="45" t="str">
        <x:v>SF-008-P05</x:v>
      </x:c>
      <x:c r="C28" s="45" t="str">
        <x:v>Crowding made the participant feel trapped.</x:v>
      </x:c>
      <x:c r="D28" s="45" t="n">
        <x:v>1</x:v>
      </x:c>
      <x:c r="E28" s="45" t="str">
        <x:v>supported</x:v>
      </x:c>
      <x:c r="F28" s="45" t="str">
        <x:v>supported</x:v>
      </x:c>
      <x:c r="G28" s="45" t="str">
        <x:f>IF(E28=F28,"AGREE","DISAGREE")</x:f>
        <x:v>AGREE</x:v>
      </x:c>
      <x:c r="H28" t="str">
        <x:f>IF(G28="AGREE",E28,IF(A28="SF-008-P02","unsupported",""))</x:f>
        <x:v>supported</x:v>
      </x:c>
    </x:row>
    <x:row r="29" ht="15" hidden="0" customHeight="1">
      <x:c r="A29" s="45" t="str">
        <x:v>SF-008-P06</x:v>
      </x:c>
      <x:c r="B29" s="45" t="str">
        <x:v>SF-008-P06</x:v>
      </x:c>
      <x:c r="C29" s="45" t="str">
        <x:v>Alarms made the participant feel overwhelmed.</x:v>
      </x:c>
      <x:c r="D29" s="45" t="n">
        <x:v>1</x:v>
      </x:c>
      <x:c r="E29" s="45" t="str">
        <x:v>unsupported</x:v>
      </x:c>
      <x:c r="F29" s="45" t="str">
        <x:v>unsupported</x:v>
      </x:c>
      <x:c r="G29" s="45" t="str">
        <x:f>IF(E29=F29,"AGREE","DISAGREE")</x:f>
        <x:v>AGREE</x:v>
      </x:c>
      <x:c r="H29" t="str">
        <x:f>IF(G29="AGREE",E29,IF(A29="SF-008-P02","unsupported",""))</x:f>
        <x:v>unsupported</x:v>
      </x:c>
    </x:row>
    <x:row r="30" ht="15" hidden="0" customHeight="1">
      <x:c r="A30" s="45" t="str">
        <x:v>SF-008-P07</x:v>
      </x:c>
      <x:c r="B30" s="45" t="str">
        <x:v>SF-008-P07</x:v>
      </x:c>
      <x:c r="C30" s="45" t="str">
        <x:v>Noise made the participant feel overwhelmed.</x:v>
      </x:c>
      <x:c r="D30" s="45" t="n">
        <x:v>1</x:v>
      </x:c>
      <x:c r="E30" s="45" t="str">
        <x:v>supported</x:v>
      </x:c>
      <x:c r="F30" s="45" t="str">
        <x:v>supported</x:v>
      </x:c>
      <x:c r="G30" s="45" t="str">
        <x:f>IF(E30=F30,"AGREE","DISAGREE")</x:f>
        <x:v>AGREE</x:v>
      </x:c>
      <x:c r="H30" t="str">
        <x:f>IF(G30="AGREE",E30,IF(A30="SF-008-P02","unsupported",""))</x:f>
        <x:v>supported</x:v>
      </x:c>
    </x:row>
    <x:row r="31" ht="15" hidden="0" customHeight="1">
      <x:c r="A31" s="45" t="str">
        <x:v>SF-008-P08</x:v>
      </x:c>
      <x:c r="B31" s="45" t="str">
        <x:v>SF-008-P08</x:v>
      </x:c>
      <x:c r="C31" s="45" t="str">
        <x:v>Crowding made the participant feel overwhelmed.</x:v>
      </x:c>
      <x:c r="D31" s="45" t="n">
        <x:v>1</x:v>
      </x:c>
      <x:c r="E31" s="45" t="str">
        <x:v>supported</x:v>
      </x:c>
      <x:c r="F31" s="45" t="str">
        <x:v>supported</x:v>
      </x:c>
      <x:c r="G31" s="45" t="str">
        <x:f>IF(E31=F31,"AGREE","DISAGREE")</x:f>
        <x:v>AGREE</x:v>
      </x:c>
      <x:c r="H31" t="str">
        <x:f>IF(G31="AGREE",E31,IF(A31="SF-008-P02","unsupported",""))</x:f>
        <x:v>supported</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s>
  <x:sheetData>
    <x:row r="1" ht="19.200000762939453" hidden="0" customHeight="1">
      <x:c r="A1" s="3" t="str">
        <x:v>Blinded disagreement record — resolved</x:v>
      </x:c>
      <x:c r="B1" s="3"/>
      <x:c r="C1" s="3"/>
      <x:c r="D1" s="3"/>
      <x:c r="E1" s="3"/>
      <x:c r="F1" s="3"/>
      <x:c r="G1" s="3"/>
      <x:c r="H1" s="3"/>
    </x:row>
    <x:row r="2"/>
    <x:row r="3" ht="15" hidden="0" customHeight="1">
      <x:c r="A3" s="6" t="str">
        <x:v>Proposition ID</x:v>
      </x:c>
      <x:c r="B3" s="45" t="str">
        <x:v>SF-008-P02</x:v>
      </x:c>
    </x:row>
    <x:row r="4" ht="15" hidden="0" customHeight="1">
      <x:c r="A4" s="6" t="str">
        <x:v>Blind item ID</x:v>
      </x:c>
      <x:c r="B4" s="45" t="str">
        <x:v>SF-008</x:v>
      </x:c>
    </x:row>
    <x:row r="5" ht="24" hidden="0" customHeight="1">
      <x:c r="A5" s="6" t="str">
        <x:v>Participant source</x:v>
      </x:c>
      <x:c r="B5" s="45" t="str">
        <x:v>On a crowded train, the carriage stopped between stations while alarms sounded. The noise and crowding made me feel trapped and overwhelmed.</x:v>
      </x:c>
    </x:row>
    <x:row r="6" ht="15" hidden="0" customHeight="1">
      <x:c r="A6" s="6" t="str">
        <x:v>Frozen proposition</x:v>
      </x:c>
      <x:c r="B6" s="45" t="str">
        <x:v>The participant described the experience as sensory overload.</x:v>
      </x:c>
    </x:row>
    <x:row r="7" ht="24" hidden="0" customHeight="1">
      <x:c r="A7" s="6" t="str">
        <x:v>Coder01 judgement</x:v>
      </x:c>
      <x:c r="B7" s="45" t="str">
        <x:v>unsupported — The source describes feeling trapped and overwhelmed but does not state or clearly establish the category 'sensory overload'. I would not treat that interpretive label as source-supported.</x:v>
      </x:c>
    </x:row>
    <x:row r="8" ht="24" hidden="0" customHeight="1">
      <x:c r="A8" s="6" t="str">
        <x:v>Coder02 judgement</x:v>
      </x:c>
      <x:c r="B8" s="45" t="str">
        <x:v>supported — The source does not use the term 'sensory overload', but it describes alarms, noise and crowding together with feeling trapped and overwhelmed. I read the proposition as a concise description of that experience rather than as a separate factual claim.</x:v>
      </x:c>
    </x:row>
    <x:row r="9" ht="15" hidden="0" customHeight="1">
      <x:c r="A9" s="6" t="str">
        <x:v>Final resolution</x:v>
      </x:c>
      <x:c r="B9" s="72" t="str">
        <x:v>unsupported</x:v>
      </x:c>
    </x:row>
    <x:row r="10" ht="66" hidden="0" customHeight="1">
      <x:c r="A10" s="81" t="str">
        <x:v>Resolution rationale</x:v>
      </x:c>
      <x:c r="B10" s="98" t="str">
        <x:v>The source says the participant felt trapped and overwhelmed, but it does not state or clearly entail that the participant described the experience using the category ‘sensory overload’. Under the frozen Phase 2 rule, that interpretive category is not established by the displayed source.</x:v>
      </x:c>
      <x:c r="C10" s="99"/>
      <x:c r="D10" s="99"/>
      <x:c r="E10" s="99"/>
      <x:c r="F10" s="99"/>
      <x:c r="G10" s="99"/>
      <x:c r="H10" s="100"/>
    </x:row>
    <x:row r="11" ht="26" customHeight="1">
      <x:c r="A11" s="81" t="str">
        <x:v>Resolvers</x:v>
      </x:c>
      <x:c r="B11" s="101" t="str">
        <x:v>Coder01 and Coder02</x:v>
      </x:c>
      <x:c r="C11" s="102"/>
      <x:c r="D11" s="102"/>
      <x:c r="E11" s="102"/>
      <x:c r="F11" s="102"/>
      <x:c r="G11" s="102"/>
      <x:c r="H11" s="103"/>
    </x:row>
    <x:row r="12" ht="26" hidden="0" customHeight="1">
      <x:c r="A12" s="79" t="str">
        <x:v>Resolved at</x:v>
      </x:c>
      <x:c r="B12" s="88" t="str">
        <x:v>2026-08-10T01:05:00+0800</x:v>
      </x:c>
      <x:c r="C12" s="37"/>
      <x:c r="D12" s="37"/>
      <x:c r="E12" s="37"/>
      <x:c r="F12" s="37"/>
      <x:c r="G12" s="37"/>
      <x:c r="H12" s="89"/>
    </x:row>
    <x:row r="13" ht="34" customHeight="1">
      <x:c r="A13" s="81" t="str">
        <x:v>Resolution SHA-256</x:v>
      </x:c>
      <x:c r="B13" s="104" t="str">
        <x:v>57276f7e424998e1428afdd92d95a71f0a8e4650fa29f2a1055e12768a07b3a1</x:v>
      </x:c>
      <x:c r="C13" s="105"/>
      <x:c r="D13" s="105"/>
      <x:c r="E13" s="105"/>
      <x:c r="F13" s="105"/>
      <x:c r="G13" s="105"/>
      <x:c r="H13" s="106"/>
    </x:row>
    <x:row r="14">
      <x:c r="A14" s="51"/>
      <x:c r="B14" s="51"/>
      <x:c r="C14" s="51"/>
      <x:c r="D14" s="51"/>
      <x:c r="E14" s="51"/>
      <x:c r="F14" s="51"/>
      <x:c r="G14" s="51"/>
      <x:c r="H14" s="51"/>
    </x:row>
    <x:row r="15">
      <x:c r="A15" s="108" t="str">
        <x:v>Method note</x:v>
      </x:c>
      <x:c r="B15" s="108"/>
      <x:c r="C15" s="108"/>
      <x:c r="D15" s="108"/>
      <x:c r="E15" s="108"/>
      <x:c r="F15" s="108"/>
      <x:c r="G15" s="108"/>
      <x:c r="H15" s="108"/>
    </x:row>
    <x:row r="16">
      <x:c r="A16" s="112" t="str">
        <x:v>The resolution changes only the final UCR label for SF-008-P02. Both independent judgements remain unchanged. Initial agreement is reported before resolution: 45/46 (97.8%), Cohen's κ = 0.789. The resolver field is retained as supplied; the workbook alone does not independently prove who entered it.</x:v>
      </x:c>
      <x:c r="B16" s="112"/>
      <x:c r="C16" s="112"/>
      <x:c r="D16" s="112"/>
      <x:c r="E16" s="112"/>
      <x:c r="F16" s="112"/>
      <x:c r="G16" s="112"/>
      <x:c r="H16" s="112"/>
    </x:row>
    <x:row r="17">
      <x:c r="A17" s="112"/>
      <x:c r="B17" s="112"/>
      <x:c r="C17" s="112"/>
      <x:c r="D17" s="112"/>
      <x:c r="E17" s="112"/>
      <x:c r="F17" s="112"/>
      <x:c r="G17" s="112"/>
      <x:c r="H17" s="112"/>
    </x:row>
    <x:row r="18">
      <x:c r="A18" s="112"/>
      <x:c r="B18" s="112"/>
      <x:c r="C18" s="112"/>
      <x:c r="D18" s="112"/>
      <x:c r="E18" s="112"/>
      <x:c r="F18" s="112"/>
      <x:c r="G18" s="112"/>
      <x:c r="H18" s="112"/>
    </x:row>
  </x:sheetData>
  <x:mergeCells>
    <x:mergeCell ref="A1:H1"/>
    <x:mergeCell ref="B10:H10"/>
    <x:mergeCell ref="B11:H11"/>
    <x:mergeCell ref="B12:H12"/>
    <x:mergeCell ref="B13:H13"/>
    <x:mergeCell ref="A15:H15"/>
    <x:mergeCell ref="A16:H1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9" hidden="0" customWidth="1"/>
    <x:col min="2" max="2" width="72" hidden="0" customWidth="1"/>
    <x:col min="3" max="3" width="72" hidden="0" customWidth="1"/>
    <x:col min="4" max="4" width="14" hidden="0" customWidth="1"/>
  </x:cols>
  <x:sheetData>
    <x:row r="1" ht="19.200000762939453" hidden="0" customHeight="1">
      <x:c r="A1" s="3" t="str">
        <x:v>Provenance and integrity checks</x:v>
      </x:c>
      <x:c r="B1" s="3"/>
      <x:c r="C1" s="3"/>
      <x:c r="D1" s="3"/>
    </x:row>
    <x:row r="2"/>
    <x:row r="3" ht="15" hidden="0" customHeight="1">
      <x:c r="A3" s="36" t="str">
        <x:v>Check</x:v>
      </x:c>
      <x:c r="B3" s="37" t="str">
        <x:v>Coder01</x:v>
      </x:c>
      <x:c r="C3" s="37" t="str">
        <x:v>Coder02</x:v>
      </x:c>
      <x:c r="D3" s="38" t="str">
        <x:v>Result</x:v>
      </x:c>
    </x:row>
    <x:row r="4" ht="15" hidden="0" customHeight="1">
      <x:c r="A4" s="56" t="str">
        <x:v>Returned SHA-256</x:v>
      </x:c>
      <x:c r="B4" s="45" t="str">
        <x:v>8f0b7ab32efd17a3b8ef286b1341a42de60103664255404ef2993701ede94f05</x:v>
      </x:c>
      <x:c r="C4" s="45" t="str">
        <x:v>b4184cb99ccd9957ecddf5edd99a4aaa9dfc2f0ea12bdeed3ea1cf375ad1f042</x:v>
      </x:c>
      <x:c r="D4" s="45" t="str">
        <x:v>LOCKED</x:v>
      </x:c>
    </x:row>
    <x:row r="5" ht="15" hidden="0" customHeight="1">
      <x:c r="A5" s="56" t="str">
        <x:v>Frozen inventory SHA-256</x:v>
      </x:c>
      <x:c r="B5" s="45" t="str">
        <x:v>f8708132168cb35d63769dc2c50929bc67ab6856e991a9accb53ad0efe3645d6</x:v>
      </x:c>
      <x:c r="C5" s="45" t="str">
        <x:v>f8708132168cb35d63769dc2c50929bc67ab6856e991a9accb53ad0efe3645d6</x:v>
      </x:c>
      <x:c r="D5" s="45" t="str">
        <x:v>MATCH</x:v>
      </x:c>
    </x:row>
    <x:row r="6" ht="15" hidden="0" customHeight="1">
      <x:c r="A6" s="56" t="str">
        <x:v>Source-material set SHA-256</x:v>
      </x:c>
      <x:c r="B6" s="45" t="str">
        <x:v>74257b3bcc011af93a127466acee00c819fd87ba67386d29f2f34906b1e8c1aa</x:v>
      </x:c>
      <x:c r="C6" s="45" t="str">
        <x:v>74257b3bcc011af93a127466acee00c819fd87ba67386d29f2f34906b1e8c1aa</x:v>
      </x:c>
      <x:c r="D6" s="45" t="str">
        <x:v>MATCH</x:v>
      </x:c>
    </x:row>
    <x:row r="7" ht="15" hidden="0" customHeight="1">
      <x:c r="A7" s="56" t="str">
        <x:v>Fixed rows match frozen inventory</x:v>
      </x:c>
      <x:c r="B7" s="55" t="b">
        <x:v>1</x:v>
      </x:c>
      <x:c r="C7" s="55" t="b">
        <x:v>1</x:v>
      </x:c>
      <x:c r="D7" s="45" t="str">
        <x:v>PASS</x:v>
      </x:c>
    </x:row>
    <x:row r="8" ht="15" hidden="0" customHeight="1">
      <x:c r="A8" s="56" t="str">
        <x:v>Fixed coding cells match issued template</x:v>
      </x:c>
      <x:c r="B8" s="55" t="b">
        <x:v>1</x:v>
      </x:c>
      <x:c r="C8" s="55" t="b">
        <x:v>1</x:v>
      </x:c>
      <x:c r="D8" s="45" t="str">
        <x:v>PASS</x:v>
      </x:c>
    </x:row>
    <x:row r="9" ht="15" hidden="0" customHeight="1">
      <x:c r="A9" s="56" t="str">
        <x:v>Codebook matches issued template</x:v>
      </x:c>
      <x:c r="B9" s="55" t="b">
        <x:v>1</x:v>
      </x:c>
      <x:c r="C9" s="55" t="b">
        <x:v>1</x:v>
      </x:c>
      <x:c r="D9" s="45" t="str">
        <x:v>PASS</x:v>
      </x:c>
    </x:row>
    <x:row r="10" ht="15" hidden="0" customHeight="1">
      <x:c r="A10" s="56" t="str">
        <x:v>46 valid labels</x:v>
      </x:c>
      <x:c r="B10" s="55" t="b">
        <x:v>1</x:v>
      </x:c>
      <x:c r="C10" s="55" t="b">
        <x:v>1</x:v>
      </x:c>
      <x:c r="D10" s="45" t="str">
        <x:v>PASS</x:v>
      </x:c>
    </x:row>
    <x:row r="11" ht="15" hidden="0" customHeight="1">
      <x:c r="A11" s="56" t="str">
        <x:v>46 source-based rationales</x:v>
      </x:c>
      <x:c r="B11" s="55" t="b">
        <x:v>1</x:v>
      </x:c>
      <x:c r="C11" s="55" t="b">
        <x:v>1</x:v>
      </x:c>
      <x:c r="D11" s="45" t="str">
        <x:v>PASS</x:v>
      </x:c>
    </x:row>
    <x:row r="12" ht="15" hidden="0" customHeight="1">
      <x:c r="A12" s="56" t="str">
        <x:v>46 confidence values</x:v>
      </x:c>
      <x:c r="B12" s="55" t="b">
        <x:v>1</x:v>
      </x:c>
      <x:c r="C12" s="55" t="b">
        <x:v>1</x:v>
      </x:c>
      <x:c r="D12" s="45" t="str">
        <x:v>PASS</x:v>
      </x:c>
    </x:row>
    <x:row r="13" ht="15" hidden="0" customHeight="1">
      <x:c r="A13" s="56" t="str">
        <x:v>46 ISO-8601 timestamps</x:v>
      </x:c>
      <x:c r="B13" s="55" t="b">
        <x:v>1</x:v>
      </x:c>
      <x:c r="C13" s="55" t="b">
        <x:v>1</x:v>
      </x:c>
      <x:c r="D13" s="45" t="str">
        <x:v>PASS</x:v>
      </x:c>
    </x:row>
    <x:row r="14" ht="15" hidden="0" customHeight="1">
      <x:c r="A14" s="56" t="str">
        <x:v>Timestamps monotonic and within session</x:v>
      </x:c>
      <x:c r="B14" s="55" t="b">
        <x:v>1</x:v>
      </x:c>
      <x:c r="C14" s="55" t="b">
        <x:v>1</x:v>
      </x:c>
      <x:c r="D14" s="45" t="str">
        <x:v>PASS</x:v>
      </x:c>
    </x:row>
    <x:row r="15" ht="15" hidden="0" customHeight="1">
      <x:c r="A15" s="56" t="str">
        <x:v>Declarations confirmed</x:v>
      </x:c>
      <x:c r="B15" s="55" t="b">
        <x:v>1</x:v>
      </x:c>
      <x:c r="C15" s="55" t="b">
        <x:v>1</x:v>
      </x:c>
      <x:c r="D15" s="45" t="str">
        <x:v>PASS</x:v>
      </x:c>
    </x:row>
    <x:row r="16">
      <x:c r="A16" s="115" t="str">
        <x:v>Resolution original SHA-256</x:v>
      </x:c>
      <x:c r="B16" s="115" t="str">
        <x:v>57276f7e424998e1428afdd92d95a71f0a8e4650fa29f2a1055e12768a07b3a1</x:v>
      </x:c>
      <x:c r="C16" s="115" t="str">
        <x:v>Resolution QA</x:v>
      </x:c>
      <x:c r="D16" s="115" t="str">
        <x:v>PASS</x:v>
      </x:c>
    </x:row>
    <x:row r="17" ht="15" hidden="0" customHeight="1">
      <x:c r="A17" s="36" t="str">
        <x:v>Evidence-chain note</x:v>
      </x:c>
      <x:c r="B17" s="37"/>
      <x:c r="C17" s="37"/>
      <x:c r="D17" s="38"/>
    </x:row>
    <x:row r="18">
      <x:c r="A18" s="112" t="str">
        <x:v>The two original Phase 2 return files and original resolution file remain hash-locked outside this shareable workbook. Their OOXML metadata are not reproduced here. The common inventory was administrator-frozen from the pre-existing blind proposal without a separate coder-confirmation round; it must not be described as coder-consensus segmentation.</x:v>
      </x:c>
      <x:c r="B18" s="112"/>
      <x:c r="C18" s="112"/>
      <x:c r="D18" s="112"/>
    </x:row>
    <x:row r="19">
      <x:c r="A19" s="112"/>
      <x:c r="B19" s="112"/>
      <x:c r="C19" s="112"/>
      <x:c r="D19" s="112"/>
    </x:row>
    <x:row r="20">
      <x:c r="A20" s="112"/>
      <x:c r="B20" s="112"/>
      <x:c r="C20" s="112"/>
      <x:c r="D20" s="112"/>
    </x:row>
    <x:row r="21">
      <x:c r="A21" s="51"/>
      <x:c r="B21" s="51"/>
      <x:c r="C21" s="51"/>
      <x:c r="D21" s="51"/>
    </x:row>
  </x:sheetData>
  <x:mergeCells>
    <x:mergeCell ref="A1:D1"/>
    <x:mergeCell ref="A17:D17"/>
    <x:mergeCell ref="A18:D20"/>
  </x:mergeCells>
  <x:pageMargins left="0.7" right="0.7" top="0.75" bottom="0.75" header="0.3" footer="0.3"/>
</x:worksheet>
</file>