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Lenovo\Desktop\"/>
    </mc:Choice>
  </mc:AlternateContent>
  <bookViews>
    <workbookView windowWidth="29868" windowHeight="12780" activeTab="3"/>
  </bookViews>
  <sheets>
    <sheet name="Start Here" sheetId="1" r:id="rId1"/>
    <sheet name="Materials" sheetId="2" r:id="rId2"/>
    <sheet name="UCR Coding" sheetId="3" r:id="rId3"/>
    <sheet name="QA Summary"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<sst xmlns="http://schemas.openxmlformats.org/spreadsheetml/2006/main" count="459" uniqueCount="241">
  <si>
    <t>PurrStone v10.2 — Coder01 UCR Phase 2</t>
  </si>
  <si>
    <t>Complete this workbook independently. Both coders receive the same jointly frozen 46-proposition inventory. Do not discuss labels, seek hidden identities, alter propositions, or use AI/automated assistance.</t>
  </si>
  <si>
    <t>Package build ID</t>
  </si>
  <si>
    <t>purrstone-v10.2-matched-draft-phase2-r1-20260810-coder01</t>
  </si>
  <si>
    <t>Material-set SHA-256</t>
  </si>
  <si>
    <t>67afa8c732e79b430031f6e40678989fd5efe1fd65c0fb26d6527be54b050901</t>
  </si>
  <si>
    <t>Repaired reconciliation SHA-256</t>
  </si>
  <si>
    <t>bf8cd195ad50a5aee30d58242726d45fcb61345381054c23209372f9e1edfed3</t>
  </si>
  <si>
    <t>Frozen inventory SHA-256</t>
  </si>
  <si>
    <t>13d47828d236e1df9394d6bf14c3b2bf62df706903e77a22c4ba9534f8b96f79</t>
  </si>
  <si>
    <t>Assigned coder ID</t>
  </si>
  <si>
    <t>Coder01</t>
  </si>
  <si>
    <t>Full name</t>
  </si>
  <si>
    <t>Phase 2 protocol read in full?</t>
  </si>
  <si>
    <t>Yes</t>
  </si>
  <si>
    <t>Worked independently and did not discuss support labels?</t>
  </si>
  <si>
    <t>Did not seek the condition/item identity key?</t>
  </si>
  <si>
    <t>Used only the displayed participant source?</t>
  </si>
  <si>
    <t>No AI or automated assistance used for judgments?</t>
  </si>
  <si>
    <t>Started at (ISO 8601 with timezone)</t>
  </si>
  <si>
    <t>Completed at (ISO 8601 with timezone)</t>
  </si>
  <si>
    <t>Typed name / signature</t>
  </si>
  <si>
    <t>Declaration QA</t>
  </si>
  <si>
    <t>1 — Scope</t>
  </si>
  <si>
    <t>Phase 2 evaluates the 46 jointly reconciled atomic propositions from the same nine blind unique draft–source bundles used in Phase 1. The inventory is frozen; do not split, merge, rewrite or delete propositions.</t>
  </si>
  <si>
    <t>2 — Supported</t>
  </si>
  <si>
    <t>Select Supported only when every material part of the proposition is directly stated by, or clearly entailed by, the displayed participant source. For a causal or conditional proposition, the stated relation must also be supported.</t>
  </si>
  <si>
    <t>3 — Unsupported</t>
  </si>
  <si>
    <t>Select Unsupported when any material part is absent from the source, contradicted by the source, or adds a relationship the source does not support. Explain the exact unsupported part in the rationale.</t>
  </si>
  <si>
    <t>4 — Unclear</t>
  </si>
  <si>
    <t>Use Unclear only when the displayed participant source is genuinely ambiguous or insufficient to decide. Do not use it merely because confidence is below 3.</t>
  </si>
  <si>
    <t>5 — Rationale and confidence</t>
  </si>
  <si>
    <t>Give a concise source-based rationale of at least 10 characters and a confidence score: 1 = low, 2 = moderate, 3 = high. Use an ISO 8601 completion timestamp with timezone for every row.</t>
  </si>
  <si>
    <t>6 — Independence and submission</t>
  </si>
  <si>
    <t>Complete all 46 rows independently. Do not discuss labels or unblind. Return only this completed workbook with the filename unchanged when Overall Phase 2 QA = PASS.</t>
  </si>
  <si>
    <t>Blind materials — unchanged from Phase 1</t>
  </si>
  <si>
    <t>Use only these texts. Topic labels are neutral navigation aids; condition, scenario, run and pair identities remain concealed.</t>
  </si>
  <si>
    <t>Blind item ID</t>
  </si>
  <si>
    <t>Topic</t>
  </si>
  <si>
    <t>Generated draft</t>
  </si>
  <si>
    <t>Participant source</t>
  </si>
  <si>
    <t>MD-001</t>
  </si>
  <si>
    <t>Experience</t>
  </si>
  <si>
    <t>Typed response extract: “It happened on a train.” “The train was packed and it stopped suddenly with a loud screeching noise. I could not move away from the crowd, and I felt trapped and overwhelmed.”</t>
  </si>
  <si>
    <t>SRC-01: It happened on a train.
SRC-02: The train was packed and it stopped suddenly with a loud screeching noise. I could not move away from the crowd, and I felt trapped and overwhelmed.</t>
  </si>
  <si>
    <t>MD-002</t>
  </si>
  <si>
    <t>Typed response extract: “It happened on a train.” “I do not remember anything else about it.”</t>
  </si>
  <si>
    <t>SRC-01: It happened on a train.
SRC-02: I do not remember anything else about it.</t>
  </si>
  <si>
    <t>MD-003</t>
  </si>
  <si>
    <t>Typed response extract: “A recent example was a crowded train that stopped between stations while alarms sounded. The noise and lack of space made me feel trapped and overwhelmed.”</t>
  </si>
  <si>
    <t>SRC-01: A recent example was a crowded train that stopped between stations while alarms sounded. The noise and lack of space made me feel trapped and overwhelmed.</t>
  </si>
  <si>
    <t>MD-004</t>
  </si>
  <si>
    <t>Support concept reaction</t>
  </si>
  <si>
    <t>Typed response extract: “The squeeze interaction seems useful because it would give my hands a focus, and gentle haptics might help me pace my breathing. I would avoid scent because it can be another trigger, and I would want every feature to be optional.”</t>
  </si>
  <si>
    <t>SRC-01: The squeeze interaction seems useful because it would give my hands a focus, and gentle haptics might help me pace my breathing. I would avoid scent because it can be another trigger, and I would want every feature to be optional.</t>
  </si>
  <si>
    <t>MD-005</t>
  </si>
  <si>
    <t>Coping &amp; support</t>
  </si>
  <si>
    <t>Typed response extract: “I covered my ears, focused on slow breathing, and left at the next stop. A quieter carriage or a warning before the alarm would have helped. The repeated announcements did not help because they added more noise.”</t>
  </si>
  <si>
    <t>SRC-01: I covered my ears, focused on slow breathing, and left at the next stop. A quieter carriage or a warning before the alarm would have helped. The repeated announcements did not help because they added more noise.</t>
  </si>
  <si>
    <t>MD-006</t>
  </si>
  <si>
    <t>Typed response extract: “On a crowded train, the carriage stopped between stations while alarms sounded. The noise and crowding made me feel trapped and overwhelmed.”</t>
  </si>
  <si>
    <t>SRC-01: On a crowded train, the carriage stopped between stations while alarms sounded. The noise and crowding made me feel trapped and overwhelmed.</t>
  </si>
  <si>
    <t>MD-007</t>
  </si>
  <si>
    <t>Triggers &amp; signs</t>
  </si>
  <si>
    <t>Typed response extract: “The sharp braking noise, flashing carriage lights, and crowding were the strongest triggers. My shoulders tightened, my heart raced, and I felt panicked.”</t>
  </si>
  <si>
    <t>SRC-01: The sharp braking noise, flashing carriage lights, and crowding were the strongest triggers. My shoulders tightened, my heart raced, and I felt panicked.</t>
  </si>
  <si>
    <t>MD-008</t>
  </si>
  <si>
    <t>Typed response extract: “Last month on a crowded train, the carriage stopped between stations while alarms and announcements were sounding. People were pressed close to me, and the combined noise and crowding made me feel trapped and overwhelmed.”</t>
  </si>
  <si>
    <t>SRC-01: Last month on a crowded train, the carriage stopped between stations while alarms and announcements were sounding. People were pressed close to me, and the combined noise and crowding made me feel trapped and overwhelmed.</t>
  </si>
  <si>
    <t>MD-009</t>
  </si>
  <si>
    <t>Public-use acceptability</t>
  </si>
  <si>
    <t>Typed response extract: “I might use it while commuting if it looked discreet and made no sound. I would be embarrassed by obvious lights, and scent would be a concern for people nearby in a shared space.”</t>
  </si>
  <si>
    <t>SRC-01: I might use it while commuting if it looked discreet and made no sound. I would be embarrassed by obvious lights, and scent would be a concern for people nearby in a shared space.</t>
  </si>
  <si>
    <t>UCR Phase 2 — independent source-support coding</t>
  </si>
  <si>
    <t>Yellow cells are coder inputs. Judge each frozen proposition only against the displayed participant source. Do not alter the proposition text or discuss labels with the other coder.</t>
  </si>
  <si>
    <t>Proposition ID</t>
  </si>
  <si>
    <t>Agreed atomic proposition</t>
  </si>
  <si>
    <t>Support label</t>
  </si>
  <si>
    <t>Source-based rationale (≥10 chars)</t>
  </si>
  <si>
    <t>Confidence</t>
  </si>
  <si>
    <t>Completed at (ISO 8601)</t>
  </si>
  <si>
    <t>Coder ID</t>
  </si>
  <si>
    <t>Row QA</t>
  </si>
  <si>
    <t>MD-001-P01</t>
  </si>
  <si>
    <t>The experience happened on a train.</t>
  </si>
  <si>
    <t>Supported</t>
  </si>
  <si>
    <t>The source explicitly says the experience happened on a train.</t>
  </si>
  <si>
    <t>MD-001-P02</t>
  </si>
  <si>
    <t>The train was packed.</t>
  </si>
  <si>
    <t>The second source line directly describes the train as packed.</t>
  </si>
  <si>
    <t>MD-001-P03</t>
  </si>
  <si>
    <t>The train stopped suddenly.</t>
  </si>
  <si>
    <t>The source directly states that the train stopped suddenly.</t>
  </si>
  <si>
    <t>MD-001-P04</t>
  </si>
  <si>
    <t>A loud screeching noise accompanied the stop.</t>
  </si>
  <si>
    <t>The loud screeching noise is explicitly tied to the sudden stop in the source.</t>
  </si>
  <si>
    <t>MD-001-P05</t>
  </si>
  <si>
    <t>The participant could not move away from the crowd.</t>
  </si>
  <si>
    <t>The participant explicitly says they could not move away from the crowd.</t>
  </si>
  <si>
    <t>MD-001-P06</t>
  </si>
  <si>
    <t>The participant felt trapped.</t>
  </si>
  <si>
    <t>Feeling trapped is directly reported in the source.</t>
  </si>
  <si>
    <t>MD-001-P07</t>
  </si>
  <si>
    <t>The participant felt overwhelmed.</t>
  </si>
  <si>
    <t>Feeling overwhelmed is directly reported in the source.</t>
  </si>
  <si>
    <t>MD-002-P01</t>
  </si>
  <si>
    <t>The first source line directly places the experience on a train.</t>
  </si>
  <si>
    <t>MD-002-P02</t>
  </si>
  <si>
    <t>The participant did not remember anything else about it.</t>
  </si>
  <si>
    <t>The participant explicitly says they do not remember anything else about the experience.</t>
  </si>
  <si>
    <t>MD-003-P01</t>
  </si>
  <si>
    <t>The example occurred on a crowded train.</t>
  </si>
  <si>
    <t>The source directly describes the example as occurring on a crowded train.</t>
  </si>
  <si>
    <t>MD-003-P02</t>
  </si>
  <si>
    <t>The train stopped between stations.</t>
  </si>
  <si>
    <t>The train stopping between stations is explicitly stated.</t>
  </si>
  <si>
    <t>MD-003-P03</t>
  </si>
  <si>
    <t>Alarms sounded during the event.</t>
  </si>
  <si>
    <t>The source explicitly says alarms sounded during the event.</t>
  </si>
  <si>
    <t>MD-003-P04</t>
  </si>
  <si>
    <t>Noise and lack of space made the participant feel trapped.</t>
  </si>
  <si>
    <t>The causal phrase directly links noise and lack of space with feeling trapped.</t>
  </si>
  <si>
    <t>MD-003-P05</t>
  </si>
  <si>
    <t>Noise and lack of space made the participant feel overwhelmed.</t>
  </si>
  <si>
    <t>The same causal phrase directly links noise and lack of space with feeling overwhelmed.</t>
  </si>
  <si>
    <t>MD-004-P01</t>
  </si>
  <si>
    <t>The squeeze interaction seemed useful because it would give the participant's hands a focus.</t>
  </si>
  <si>
    <t>The source preserves both the usefulness judgement and the stated reason that the squeeze interaction would give the participant's hands a focus.</t>
  </si>
  <si>
    <t>MD-004-P02</t>
  </si>
  <si>
    <t>Gentle haptics might help the participant pace their breathing.</t>
  </si>
  <si>
    <t>The participant directly says gentle haptics might help pace their breathing.</t>
  </si>
  <si>
    <t>MD-004-P03</t>
  </si>
  <si>
    <t>The participant would avoid scent because it could be another trigger.</t>
  </si>
  <si>
    <t>The source explicitly links avoiding scent to its possibility of being another trigger.</t>
  </si>
  <si>
    <t>MD-004-P04</t>
  </si>
  <si>
    <t>The participant wanted every feature to be optional.</t>
  </si>
  <si>
    <t>The participant directly states that every feature should be optional.</t>
  </si>
  <si>
    <t>MD-005-P01</t>
  </si>
  <si>
    <t>The participant covered their ears.</t>
  </si>
  <si>
    <t>The participant explicitly reports covering their ears.</t>
  </si>
  <si>
    <t>MD-005-P02</t>
  </si>
  <si>
    <t>The participant focused on slow breathing.</t>
  </si>
  <si>
    <t>The source directly reports focusing on slow breathing.</t>
  </si>
  <si>
    <t>MD-005-P03</t>
  </si>
  <si>
    <t>The participant left at the next stop.</t>
  </si>
  <si>
    <t>The participant explicitly says they left at the next stop.</t>
  </si>
  <si>
    <t>MD-005-P04</t>
  </si>
  <si>
    <t>A quieter carriage would have helped the participant.</t>
  </si>
  <si>
    <t>A quieter carriage is directly identified as something that would have helped.</t>
  </si>
  <si>
    <t>MD-005-P05</t>
  </si>
  <si>
    <t>A warning before the alarm would have helped the participant.</t>
  </si>
  <si>
    <t>A warning before the alarm is directly identified as something that would have helped.</t>
  </si>
  <si>
    <t>MD-005-P06</t>
  </si>
  <si>
    <t>The repeated announcements did not help because they added more noise.</t>
  </si>
  <si>
    <t>The source explicitly preserves both the negative judgement about the announcements and the reason that they added more noise.</t>
  </si>
  <si>
    <t>MD-006-P01</t>
  </si>
  <si>
    <t>The experience occurred on a crowded train.</t>
  </si>
  <si>
    <t>The source directly places the experience on a crowded train.</t>
  </si>
  <si>
    <t>MD-006-P02</t>
  </si>
  <si>
    <t>The carriage stopped between stations.</t>
  </si>
  <si>
    <t>The carriage stopping between stations is explicitly stated.</t>
  </si>
  <si>
    <t>MD-006-P03</t>
  </si>
  <si>
    <t>The participant source explicitly says alarms sounded.</t>
  </si>
  <si>
    <t>MD-006-P04</t>
  </si>
  <si>
    <t>Noise and crowding made the participant feel trapped.</t>
  </si>
  <si>
    <t>Noise and crowding are directly identified together as making the participant feel trapped.</t>
  </si>
  <si>
    <t>MD-006-P05</t>
  </si>
  <si>
    <t>Noise and crowding made the participant feel overwhelmed.</t>
  </si>
  <si>
    <t>Noise and crowding are directly identified together as making the participant feel overwhelmed.</t>
  </si>
  <si>
    <t>MD-007-P01</t>
  </si>
  <si>
    <t>Sharp braking noise was one of the participant's strongest triggers.</t>
  </si>
  <si>
    <t>Sharp braking noise is explicitly listed as one of the strongest triggers.</t>
  </si>
  <si>
    <t>MD-007-P02</t>
  </si>
  <si>
    <t>Flashing carriage lights were one of the participant's strongest triggers.</t>
  </si>
  <si>
    <t>Flashing carriage lights are explicitly listed as one of the strongest triggers.</t>
  </si>
  <si>
    <t>MD-007-P03</t>
  </si>
  <si>
    <t>Crowding was one of the participant's strongest triggers.</t>
  </si>
  <si>
    <t>Crowding is explicitly listed as one of the strongest triggers.</t>
  </si>
  <si>
    <t>MD-007-P04</t>
  </si>
  <si>
    <t>The participant's shoulders tightened.</t>
  </si>
  <si>
    <t>The participant directly reports that their shoulders tightened.</t>
  </si>
  <si>
    <t>MD-007-P05</t>
  </si>
  <si>
    <t>The participant's heart raced.</t>
  </si>
  <si>
    <t>The participant directly reports that their heart raced.</t>
  </si>
  <si>
    <t>MD-007-P06</t>
  </si>
  <si>
    <t>The participant felt panicked.</t>
  </si>
  <si>
    <t>The participant explicitly reports feeling panicked.</t>
  </si>
  <si>
    <t>MD-008-P01</t>
  </si>
  <si>
    <t>The experience happened last month.</t>
  </si>
  <si>
    <t>The source explicitly places the experience last month.</t>
  </si>
  <si>
    <t>MD-008-P02</t>
  </si>
  <si>
    <t>The source directly describes the setting as a crowded train.</t>
  </si>
  <si>
    <t>MD-008-P03</t>
  </si>
  <si>
    <t>MD-008-P04</t>
  </si>
  <si>
    <t>Alarms were sounding during the event.</t>
  </si>
  <si>
    <t>The source directly says alarms were sounding during the event.</t>
  </si>
  <si>
    <t>MD-008-P05</t>
  </si>
  <si>
    <t>Announcements were sounding during the event.</t>
  </si>
  <si>
    <t>The source directly says announcements were sounding during the event.</t>
  </si>
  <si>
    <t>MD-008-P06</t>
  </si>
  <si>
    <t>People were pressed close to the participant.</t>
  </si>
  <si>
    <t>The participant explicitly says people were pressed close to them.</t>
  </si>
  <si>
    <t>MD-008-P07</t>
  </si>
  <si>
    <t>The combined noise and crowding made the participant feel trapped.</t>
  </si>
  <si>
    <t>The source directly attributes feeling trapped to the combined noise and crowding.</t>
  </si>
  <si>
    <t>MD-008-P08</t>
  </si>
  <si>
    <t>The combined noise and crowding made the participant feel overwhelmed.</t>
  </si>
  <si>
    <t>The source directly attributes feeling overwhelmed to the combined noise and crowding.</t>
  </si>
  <si>
    <t>MD-009-P01</t>
  </si>
  <si>
    <t>The participant might use the item while commuting if it looked discreet and made no sound.</t>
  </si>
  <si>
    <t>The source directly supports the conditional commuting use if the item were discreet and silent.</t>
  </si>
  <si>
    <t>MD-009-P02</t>
  </si>
  <si>
    <t>Obvious lights would embarrass the participant.</t>
  </si>
  <si>
    <t>The participant explicitly says obvious lights would be embarrassing.</t>
  </si>
  <si>
    <t>MD-009-P03</t>
  </si>
  <si>
    <t>Scent would be a concern for people nearby in a shared space.</t>
  </si>
  <si>
    <t>The source directly states that scent would be a concern for nearby people in a shared space.</t>
  </si>
  <si>
    <t>Phase 2 QA Summary</t>
  </si>
  <si>
    <t>Return the workbook only when Overall Phase 2 QA = PASS. Agreement and Cohen's κ are calculated later from the two frozen independent returns, before any disagreement resolution.</t>
  </si>
  <si>
    <t>Check</t>
  </si>
  <si>
    <t>Expected</t>
  </si>
  <si>
    <t>Observed</t>
  </si>
  <si>
    <t>Status</t>
  </si>
  <si>
    <t>Interpretation</t>
  </si>
  <si>
    <t>Frozen proposition rows</t>
  </si>
  <si>
    <t>The jointly frozen common inventory contains 46 proposition instances.</t>
  </si>
  <si>
    <t>Completed coding rows</t>
  </si>
  <si>
    <t>Every row requires label, source-based rationale, confidence and ISO 8601 timestamp.</t>
  </si>
  <si>
    <t>Blind items represented</t>
  </si>
  <si>
    <t>All nine blind source bundles must remain represented.</t>
  </si>
  <si>
    <t>Coder/declaration fields</t>
  </si>
  <si>
    <t>PASS</t>
  </si>
  <si>
    <t>Identity, declarations, start/completion times and signature are required.</t>
  </si>
  <si>
    <t>Overall Phase 2 QA</t>
  </si>
  <si>
    <t>Return the workbook only when this row is PASS.</t>
  </si>
  <si>
    <t>Blind item</t>
  </si>
  <si>
    <t>Expected propositions</t>
  </si>
  <si>
    <t>Completed rows</t>
  </si>
  <si>
    <t>Item QA</t>
  </si>
  <si>
    <t>Note</t>
  </si>
  <si>
    <t>All frozen propositions for this blind item must pass row QA.</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</si>
</sst>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quot;T&quot;hh:mm:ss&quot;+08:00&quot;"/>
  </numFmts>
  <fonts count="26">
    <font>
      <sz val="11"/>
      <name val="Carlito"/>
      <charset val="134"/>
    </font>
    <font>
      <b/>
      <sz val="18"/>
      <color rgb="FFFFFFFF"/>
      <name val="Carlito"/>
      <charset val="134"/>
    </font>
    <font>
      <sz val="11"/>
      <color rgb="FF263238"/>
      <name val="Carlito"/>
      <charset val="134"/>
    </font>
    <font>
      <b/>
      <sz val="11"/>
      <color rgb="FFFFFFFF"/>
      <name val="Carlito"/>
      <charset val="134"/>
    </font>
    <font>
      <b/>
      <sz val="11"/>
      <color rgb="FF263238"/>
      <name val="Carlito"/>
      <charset val="134"/>
    </font>
    <font>
      <b/>
      <sz val="11"/>
      <name val="Carlito"/>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0">
    <fill>
      <patternFill patternType="none"/>
    </fill>
    <fill>
      <patternFill patternType="gray125"/>
    </fill>
    <fill>
      <patternFill patternType="solid">
        <fgColor rgb="FF1D3F68"/>
        <bgColor indexed="64"/>
      </patternFill>
    </fill>
    <fill>
      <patternFill patternType="solid">
        <fgColor rgb="FFDCEBF7"/>
        <bgColor indexed="64"/>
      </patternFill>
    </fill>
    <fill>
      <patternFill patternType="solid">
        <fgColor rgb="FF0E7580"/>
        <bgColor indexed="64"/>
      </patternFill>
    </fill>
    <fill>
      <patternFill patternType="solid">
        <fgColor rgb="FFF5F7FA"/>
        <bgColor indexed="64"/>
      </patternFill>
    </fill>
    <fill>
      <patternFill patternType="solid">
        <fgColor rgb="FFFFF2CC"/>
        <bgColor indexed="64"/>
      </patternFill>
    </fill>
    <fill>
      <patternFill patternType="solid">
        <fgColor rgb="FFE2F0D9"/>
        <bgColor indexed="64"/>
      </patternFill>
    </fill>
    <fill>
      <patternFill patternType="solid">
        <fgColor rgb="FFE7E6E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B7C9D6"/>
      </left>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
      <left style="thin">
        <color rgb="FFB7C9D6"/>
      </left>
      <right style="thin">
        <color rgb="FFB7C9D6"/>
      </right>
      <top style="thin">
        <color rgb="FFB7C9D6"/>
      </top>
      <bottom style="thin">
        <color rgb="FFB7C9D6"/>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6" fillId="0" borderId="0">
      <alignment vertical="center"/>
    </xf>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9"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10" borderId="8" applyNumberFormat="0" applyAlignment="0" applyProtection="0">
      <alignment vertical="center"/>
    </xf>
    <xf numFmtId="0" fontId="16" fillId="11" borderId="9" applyNumberFormat="0" applyAlignment="0" applyProtection="0">
      <alignment vertical="center"/>
    </xf>
    <xf numFmtId="0" fontId="17" fillId="11" borderId="8" applyNumberFormat="0" applyAlignment="0" applyProtection="0">
      <alignment vertical="center"/>
    </xf>
    <xf numFmtId="0" fontId="18" fillId="12"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24" fillId="19" borderId="0" applyNumberFormat="0" applyBorder="0" applyAlignment="0" applyProtection="0">
      <alignment vertical="center"/>
    </xf>
    <xf numFmtId="0" fontId="24"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24" fillId="23" borderId="0" applyNumberFormat="0" applyBorder="0" applyAlignment="0" applyProtection="0">
      <alignment vertical="center"/>
    </xf>
    <xf numFmtId="0" fontId="24"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24" fillId="27" borderId="0" applyNumberFormat="0" applyBorder="0" applyAlignment="0" applyProtection="0">
      <alignment vertical="center"/>
    </xf>
    <xf numFmtId="0" fontId="24"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24" fillId="31" borderId="0" applyNumberFormat="0" applyBorder="0" applyAlignment="0" applyProtection="0">
      <alignment vertical="center"/>
    </xf>
    <xf numFmtId="0" fontId="24"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24" fillId="35" borderId="0" applyNumberFormat="0" applyBorder="0" applyAlignment="0" applyProtection="0">
      <alignment vertical="center"/>
    </xf>
    <xf numFmtId="0" fontId="24" fillId="36" borderId="0" applyNumberFormat="0" applyBorder="0" applyAlignment="0" applyProtection="0">
      <alignment vertical="center"/>
    </xf>
    <xf numFmtId="0" fontId="25" fillId="37" borderId="0" applyNumberFormat="0" applyBorder="0" applyAlignment="0" applyProtection="0">
      <alignment vertical="center"/>
    </xf>
    <xf numFmtId="0" fontId="25" fillId="38" borderId="0" applyNumberFormat="0" applyBorder="0" applyAlignment="0" applyProtection="0">
      <alignment vertical="center"/>
    </xf>
    <xf numFmtId="0" fontId="24" fillId="39" borderId="0" applyNumberFormat="0" applyBorder="0" applyAlignment="0" applyProtection="0">
      <alignment vertical="center"/>
    </xf>
    <xf numFmtId="0" fontId="0" fillId="0" borderId="0"/>
  </cellStyleXfs>
  <cellXfs count="23">
    <xf numFmtId="0" fontId="0" fillId="0" borderId="0" xfId="49"/>
    <xf numFmtId="0" fontId="1" fillId="2" borderId="0" xfId="49" applyNumberFormat="1" applyFont="1" applyFill="1" applyBorder="1" applyAlignment="1">
      <alignment vertical="center"/>
    </xf>
    <xf numFmtId="0" fontId="2" fillId="3" borderId="1" xfId="49" applyNumberFormat="1" applyFont="1" applyFill="1" applyBorder="1" applyAlignment="1">
      <alignment vertical="center" wrapText="1"/>
    </xf>
    <xf numFmtId="0" fontId="2" fillId="3" borderId="2" xfId="49" applyNumberFormat="1" applyFont="1" applyFill="1" applyBorder="1" applyAlignment="1">
      <alignment vertical="center" wrapText="1"/>
    </xf>
    <xf numFmtId="0" fontId="2" fillId="3" borderId="3" xfId="49" applyNumberFormat="1" applyFont="1" applyFill="1" applyBorder="1" applyAlignment="1">
      <alignment vertical="center" wrapText="1"/>
    </xf>
    <xf numFmtId="0" fontId="3" fillId="4" borderId="4" xfId="49" applyNumberFormat="1" applyFont="1" applyFill="1" applyBorder="1" applyAlignment="1">
      <alignment horizontal="center" vertical="center" wrapText="1"/>
    </xf>
    <xf numFmtId="0" fontId="4" fillId="0" borderId="4" xfId="49" applyNumberFormat="1" applyFont="1" applyFill="1" applyBorder="1" applyAlignment="1">
      <alignment vertical="top" wrapText="1"/>
    </xf>
    <xf numFmtId="0" fontId="0" fillId="0" borderId="4" xfId="49" applyNumberFormat="1" applyFont="1" applyFill="1" applyBorder="1" applyAlignment="1">
      <alignment vertical="top" wrapText="1"/>
    </xf>
    <xf numFmtId="0" fontId="5" fillId="0" borderId="4" xfId="49" applyNumberFormat="1" applyFont="1" applyFill="1" applyBorder="1" applyAlignment="1">
      <alignment horizontal="center" vertical="top" wrapText="1"/>
    </xf>
    <xf numFmtId="0" fontId="0" fillId="5" borderId="4" xfId="49" applyNumberFormat="1" applyFont="1" applyFill="1" applyBorder="1" applyAlignment="1">
      <alignment vertical="top" wrapText="1"/>
    </xf>
    <xf numFmtId="0" fontId="0" fillId="6" borderId="4" xfId="49" applyNumberFormat="1" applyFont="1" applyFill="1" applyBorder="1" applyAlignment="1">
      <alignment vertical="top" wrapText="1"/>
    </xf>
    <xf numFmtId="1" fontId="0" fillId="6" borderId="4" xfId="49" applyNumberFormat="1" applyFont="1" applyFill="1" applyBorder="1" applyAlignment="1">
      <alignment vertical="top" wrapText="1"/>
    </xf>
    <xf numFmtId="176" fontId="0" fillId="6" borderId="4" xfId="49" applyNumberFormat="1" applyFont="1" applyFill="1" applyBorder="1" applyAlignment="1">
      <alignment vertical="top" wrapText="1"/>
    </xf>
    <xf numFmtId="0" fontId="0" fillId="3" borderId="4" xfId="49" applyNumberFormat="1" applyFont="1" applyFill="1" applyBorder="1" applyAlignment="1">
      <alignment vertical="top" wrapText="1"/>
    </xf>
    <xf numFmtId="0" fontId="0" fillId="7" borderId="4" xfId="49" applyNumberFormat="1" applyFont="1" applyFill="1" applyBorder="1" applyAlignment="1">
      <alignment vertical="top" wrapText="1"/>
    </xf>
    <xf numFmtId="0" fontId="4" fillId="8" borderId="4" xfId="49" applyNumberFormat="1" applyFont="1" applyFill="1" applyBorder="1" applyAlignment="1">
      <alignment vertical="top" wrapText="1"/>
    </xf>
    <xf numFmtId="0" fontId="2" fillId="5" borderId="4" xfId="49" applyNumberFormat="1" applyFont="1" applyFill="1" applyBorder="1" applyAlignment="1">
      <alignment vertical="top" wrapText="1"/>
    </xf>
    <xf numFmtId="0" fontId="2" fillId="6" borderId="4" xfId="49" applyNumberFormat="1" applyFont="1" applyFill="1" applyBorder="1" applyAlignment="1">
      <alignment vertical="top" wrapText="1"/>
    </xf>
    <xf numFmtId="176" fontId="2" fillId="6" borderId="4" xfId="49" applyNumberFormat="1" applyFont="1" applyFill="1" applyBorder="1" applyAlignment="1">
      <alignment vertical="top" wrapText="1"/>
    </xf>
    <xf numFmtId="0" fontId="4" fillId="8" borderId="4" xfId="49" applyNumberFormat="1" applyFont="1" applyFill="1" applyBorder="1" applyAlignment="1">
      <alignment vertical="top"/>
    </xf>
    <xf numFmtId="0" fontId="5" fillId="0" borderId="4" xfId="49" applyNumberFormat="1" applyFont="1" applyFill="1" applyBorder="1" applyAlignment="1">
      <alignment horizontal="center" vertical="top"/>
    </xf>
    <xf numFmtId="0" fontId="4" fillId="3" borderId="4" xfId="49" applyNumberFormat="1" applyFont="1" applyFill="1" applyBorder="1" applyAlignment="1">
      <alignment vertical="top" wrapText="1"/>
    </xf>
    <xf numFmtId="0" fontId="2" fillId="3" borderId="4" xfId="49" applyNumberFormat="1" applyFont="1" applyFill="1" applyBorder="1" applyAlignment="1">
      <alignment vertical="top"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19">
    <dxf>
      <font>
        <b val="1"/>
        <color rgb="FF006100"/>
      </font>
      <fill>
        <patternFill patternType="solid">
          <bgColor rgb="FFE2F0D9"/>
        </patternFill>
      </fill>
    </dxf>
    <dxf>
      <font>
        <b val="1"/>
        <color rgb="FF9C6500"/>
      </font>
      <fill>
        <patternFill patternType="solid">
          <bgColor rgb="FFFFF2CC"/>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8"/>
      <tableStyleElement type="headerRow" dxfId="7"/>
      <tableStyleElement type="totalRow" dxfId="6"/>
      <tableStyleElement type="firstColumn" dxfId="5"/>
      <tableStyleElement type="lastColumn" dxfId="4"/>
      <tableStyleElement type="firstRowStripe" dxfId="3"/>
      <tableStyleElement type="firstColumnStripe" dxfId="2"/>
    </tableStyle>
    <tableStyle name="PivotStylePreset2_Accent1" table="0" count="10" xr9:uid="{267968C8-6FFD-4C36-ACC1-9EA1FD1885CA}">
      <tableStyleElement type="headerRow" dxfId="18"/>
      <tableStyleElement type="totalRow" dxfId="17"/>
      <tableStyleElement type="firstRowStripe" dxfId="16"/>
      <tableStyleElement type="firstColumnStripe" dxfId="15"/>
      <tableStyleElement type="firstSubtotalRow" dxfId="14"/>
      <tableStyleElement type="secondSubtotalRow" dxfId="13"/>
      <tableStyleElement type="firstRowSubheading" dxfId="12"/>
      <tableStyleElement type="secondRowSubheading" dxfId="11"/>
      <tableStyleElement type="pageFieldLabels" dxfId="10"/>
      <tableStyleElement type="pageFieldValues" dxfId="9"/>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9"/>
  <sheetViews>
    <sheetView showGridLines="0" topLeftCell="A26" workbookViewId="0">
      <selection activeCell="I26" sqref="I26"/>
    </sheetView>
  </sheetViews>
  <sheetFormatPr defaultColWidth="9" defaultRowHeight="13.8"/>
  <cols>
    <col min="1" max="1" width="42.2166666666667" customWidth="1"/>
    <col min="2" max="2" width="95.5583333333333" customWidth="1"/>
    <col min="3" max="10" width="2.21666666666667" customWidth="1"/>
  </cols>
  <sheetData>
    <row r="1" ht="24" customHeight="1" spans="1:10">
      <c r="A1" s="1" t="s">
        <v>0</v>
      </c>
      <c r="B1" s="1"/>
      <c r="C1" s="1"/>
      <c r="D1" s="1"/>
      <c r="E1" s="1"/>
      <c r="F1" s="1"/>
      <c r="G1" s="1"/>
      <c r="H1" s="1"/>
      <c r="I1" s="1"/>
      <c r="J1" s="1"/>
    </row>
    <row r="2" ht="24" customHeight="1" spans="1:10">
      <c r="A2" s="1"/>
      <c r="B2" s="1"/>
      <c r="C2" s="1"/>
      <c r="D2" s="1"/>
      <c r="E2" s="1"/>
      <c r="F2" s="1"/>
      <c r="G2" s="1"/>
      <c r="H2" s="1"/>
      <c r="I2" s="1"/>
      <c r="J2" s="1"/>
    </row>
    <row r="4" ht="33" customHeight="1" spans="1:10">
      <c r="A4" s="2" t="s">
        <v>1</v>
      </c>
      <c r="B4" s="3"/>
      <c r="C4" s="3"/>
      <c r="D4" s="3"/>
      <c r="E4" s="3"/>
      <c r="F4" s="3"/>
      <c r="G4" s="3"/>
      <c r="H4" s="3"/>
      <c r="I4" s="3"/>
      <c r="J4" s="4"/>
    </row>
    <row r="6" ht="30" customHeight="1" spans="1:10">
      <c r="A6" s="15" t="s">
        <v>2</v>
      </c>
      <c r="B6" s="16" t="s">
        <v>3</v>
      </c>
    </row>
    <row r="7" ht="30" customHeight="1" spans="1:10">
      <c r="A7" s="15" t="s">
        <v>4</v>
      </c>
      <c r="B7" s="16" t="s">
        <v>5</v>
      </c>
    </row>
    <row r="8" ht="30" customHeight="1" spans="1:10">
      <c r="A8" s="15" t="s">
        <v>6</v>
      </c>
      <c r="B8" s="16" t="s">
        <v>7</v>
      </c>
    </row>
    <row r="9" ht="30" customHeight="1" spans="1:10">
      <c r="A9" s="15" t="s">
        <v>8</v>
      </c>
      <c r="B9" s="16" t="s">
        <v>9</v>
      </c>
    </row>
    <row r="10" ht="30" customHeight="1" spans="1:10">
      <c r="A10" s="15" t="s">
        <v>10</v>
      </c>
      <c r="B10" s="16" t="s">
        <v>11</v>
      </c>
    </row>
    <row r="11" ht="30" customHeight="1" spans="1:10">
      <c r="A11" s="15" t="s">
        <v>12</v>
      </c>
      <c r="B11" s="17" t="s">
        <v>11</v>
      </c>
    </row>
    <row r="12" ht="30" customHeight="1" spans="1:10">
      <c r="A12" s="15" t="s">
        <v>13</v>
      </c>
      <c r="B12" s="17" t="s">
        <v>14</v>
      </c>
    </row>
    <row r="13" ht="30" customHeight="1" spans="1:10">
      <c r="A13" s="15" t="s">
        <v>15</v>
      </c>
      <c r="B13" s="17" t="s">
        <v>14</v>
      </c>
    </row>
    <row r="14" ht="30" customHeight="1" spans="1:10">
      <c r="A14" s="15" t="s">
        <v>16</v>
      </c>
      <c r="B14" s="17" t="s">
        <v>14</v>
      </c>
    </row>
    <row r="15" ht="30" customHeight="1" spans="1:10">
      <c r="A15" s="15" t="s">
        <v>17</v>
      </c>
      <c r="B15" s="17" t="s">
        <v>14</v>
      </c>
    </row>
    <row r="16" ht="30" customHeight="1" spans="1:10">
      <c r="A16" s="15" t="s">
        <v>18</v>
      </c>
      <c r="B16" s="17" t="s">
        <v>14</v>
      </c>
    </row>
    <row r="17" ht="30" customHeight="1" spans="1:2">
      <c r="A17" s="15" t="s">
        <v>19</v>
      </c>
      <c r="B17" s="18">
        <v>46244.6974537037</v>
      </c>
    </row>
    <row r="18" ht="30" customHeight="1" spans="1:2">
      <c r="A18" s="15" t="s">
        <v>20</v>
      </c>
      <c r="B18" s="18">
        <v>46244.7167013889</v>
      </c>
    </row>
    <row r="19" ht="30" customHeight="1" spans="1:2">
      <c r="A19" s="15" t="s">
        <v>21</v>
      </c>
      <c r="B19" s="17" t="s">
        <v>11</v>
      </c>
    </row>
    <row r="20" ht="30" customHeight="1"/>
    <row r="21" ht="30" customHeight="1" spans="1:2">
      <c r="A21" s="19" t="s">
        <v>22</v>
      </c>
      <c r="B21" s="20" t="str">
        <f>IF(AND(B11&lt;&gt;"",B12="Yes",B13="Yes",B14="Yes",B15="Yes",B16="Yes",OR(ISNUMBER(B17),LEN(B17)&gt;=20),OR(ISNUMBER(B18),LEN(B18)&gt;=20),B19&lt;&gt;""),"PASS","INCOMPLETE")</f>
        <v>PASS</v>
      </c>
    </row>
    <row r="24" ht="49.5" customHeight="1" spans="1:2">
      <c r="A24" s="21" t="s">
        <v>23</v>
      </c>
      <c r="B24" s="22" t="s">
        <v>24</v>
      </c>
    </row>
    <row r="25" ht="49.5" customHeight="1" spans="1:2">
      <c r="A25" s="21" t="s">
        <v>25</v>
      </c>
      <c r="B25" s="22" t="s">
        <v>26</v>
      </c>
    </row>
    <row r="26" ht="49.5" customHeight="1" spans="1:2">
      <c r="A26" s="21" t="s">
        <v>27</v>
      </c>
      <c r="B26" s="22" t="s">
        <v>28</v>
      </c>
    </row>
    <row r="27" ht="49.5" customHeight="1" spans="1:2">
      <c r="A27" s="21" t="s">
        <v>29</v>
      </c>
      <c r="B27" s="22" t="s">
        <v>30</v>
      </c>
    </row>
    <row r="28" ht="49.5" customHeight="1" spans="1:2">
      <c r="A28" s="21" t="s">
        <v>31</v>
      </c>
      <c r="B28" s="22" t="s">
        <v>32</v>
      </c>
    </row>
    <row r="29" ht="49.5" customHeight="1" spans="1:2">
      <c r="A29" s="21" t="s">
        <v>33</v>
      </c>
      <c r="B29" s="22" t="s">
        <v>34</v>
      </c>
    </row>
  </sheetData>
  <mergeCells count="2">
    <mergeCell ref="A4:J4"/>
    <mergeCell ref="A1:J2"/>
  </mergeCells>
  <conditionalFormatting sqref="B21">
    <cfRule type="containsText" dxfId="0" priority="1" operator="between" text="PASS">
      <formula>NOT(ISERROR(SEARCH("PASS",B21)))</formula>
    </cfRule>
    <cfRule type="containsText" dxfId="1" priority="2" operator="between" text="INCOMPLETE">
      <formula>NOT(ISERROR(SEARCH("INCOMPLETE",B21)))</formula>
    </cfRule>
  </conditionalFormatting>
  <dataValidations count="1">
    <dataValidation type="list" sqref="B12:B16">
      <formula1>"Yes,No"</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5"/>
  <sheetViews>
    <sheetView showGridLines="0" workbookViewId="0">
      <selection activeCell="A1" sqref="A1:D2"/>
    </sheetView>
  </sheetViews>
  <sheetFormatPr defaultColWidth="9" defaultRowHeight="13.8" outlineLevelCol="3"/>
  <cols>
    <col min="1" max="1" width="11.6666666666667" customWidth="1"/>
    <col min="2" max="2" width="21.1083333333333" customWidth="1"/>
    <col min="3" max="4" width="67.7833333333333" customWidth="1"/>
  </cols>
  <sheetData>
    <row r="1" spans="1:4">
      <c r="A1" s="1" t="s">
        <v>35</v>
      </c>
      <c r="B1" s="1"/>
      <c r="C1" s="1"/>
      <c r="D1" s="1"/>
    </row>
    <row r="2" spans="1:4">
      <c r="A2" s="1"/>
      <c r="B2" s="1"/>
      <c r="C2" s="1"/>
      <c r="D2" s="1"/>
    </row>
    <row r="4" spans="1:4">
      <c r="A4" s="2" t="s">
        <v>36</v>
      </c>
      <c r="B4" s="3"/>
      <c r="C4" s="3"/>
      <c r="D4" s="4"/>
    </row>
    <row r="6" ht="27.6" spans="1:4">
      <c r="A6" s="5" t="s">
        <v>37</v>
      </c>
      <c r="B6" s="5" t="s">
        <v>38</v>
      </c>
      <c r="C6" s="5" t="s">
        <v>39</v>
      </c>
      <c r="D6" s="5" t="s">
        <v>40</v>
      </c>
    </row>
    <row r="7" ht="84" customHeight="1" spans="1:4">
      <c r="A7" s="9" t="s">
        <v>41</v>
      </c>
      <c r="B7" s="9" t="s">
        <v>42</v>
      </c>
      <c r="C7" s="13" t="s">
        <v>43</v>
      </c>
      <c r="D7" s="14" t="s">
        <v>44</v>
      </c>
    </row>
    <row r="8" ht="84" customHeight="1" spans="1:4">
      <c r="A8" s="9" t="s">
        <v>45</v>
      </c>
      <c r="B8" s="9" t="s">
        <v>42</v>
      </c>
      <c r="C8" s="13" t="s">
        <v>46</v>
      </c>
      <c r="D8" s="14" t="s">
        <v>47</v>
      </c>
    </row>
    <row r="9" ht="84" customHeight="1" spans="1:4">
      <c r="A9" s="9" t="s">
        <v>48</v>
      </c>
      <c r="B9" s="9" t="s">
        <v>42</v>
      </c>
      <c r="C9" s="13" t="s">
        <v>49</v>
      </c>
      <c r="D9" s="14" t="s">
        <v>50</v>
      </c>
    </row>
    <row r="10" ht="84" customHeight="1" spans="1:4">
      <c r="A10" s="9" t="s">
        <v>51</v>
      </c>
      <c r="B10" s="9" t="s">
        <v>52</v>
      </c>
      <c r="C10" s="13" t="s">
        <v>53</v>
      </c>
      <c r="D10" s="14" t="s">
        <v>54</v>
      </c>
    </row>
    <row r="11" ht="84" customHeight="1" spans="1:4">
      <c r="A11" s="9" t="s">
        <v>55</v>
      </c>
      <c r="B11" s="9" t="s">
        <v>56</v>
      </c>
      <c r="C11" s="13" t="s">
        <v>57</v>
      </c>
      <c r="D11" s="14" t="s">
        <v>58</v>
      </c>
    </row>
    <row r="12" ht="84" customHeight="1" spans="1:4">
      <c r="A12" s="9" t="s">
        <v>59</v>
      </c>
      <c r="B12" s="9" t="s">
        <v>42</v>
      </c>
      <c r="C12" s="13" t="s">
        <v>60</v>
      </c>
      <c r="D12" s="14" t="s">
        <v>61</v>
      </c>
    </row>
    <row r="13" ht="84" customHeight="1" spans="1:4">
      <c r="A13" s="9" t="s">
        <v>62</v>
      </c>
      <c r="B13" s="9" t="s">
        <v>63</v>
      </c>
      <c r="C13" s="13" t="s">
        <v>64</v>
      </c>
      <c r="D13" s="14" t="s">
        <v>65</v>
      </c>
    </row>
    <row r="14" ht="84" customHeight="1" spans="1:4">
      <c r="A14" s="9" t="s">
        <v>66</v>
      </c>
      <c r="B14" s="9" t="s">
        <v>42</v>
      </c>
      <c r="C14" s="13" t="s">
        <v>67</v>
      </c>
      <c r="D14" s="14" t="s">
        <v>68</v>
      </c>
    </row>
    <row r="15" ht="84" customHeight="1" spans="1:4">
      <c r="A15" s="9" t="s">
        <v>69</v>
      </c>
      <c r="B15" s="9" t="s">
        <v>70</v>
      </c>
      <c r="C15" s="13" t="s">
        <v>71</v>
      </c>
      <c r="D15" s="14" t="s">
        <v>72</v>
      </c>
    </row>
  </sheetData>
  <mergeCells count="2">
    <mergeCell ref="A4:D4"/>
    <mergeCell ref="A1:D2"/>
  </mergeCell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52"/>
  <sheetViews>
    <sheetView showGridLines="0" workbookViewId="0">
      <selection activeCell="A1" sqref="A1:J2"/>
    </sheetView>
  </sheetViews>
  <sheetFormatPr defaultColWidth="9" defaultRowHeight="13.8"/>
  <cols>
    <col min="1" max="1" width="13.8916666666667" customWidth="1"/>
    <col min="2" max="2" width="11.1083333333333" customWidth="1"/>
    <col min="3" max="3" width="47.7833333333333" customWidth="1"/>
    <col min="4" max="4" width="67.7833333333333" customWidth="1"/>
    <col min="5" max="5" width="13.8916666666667" customWidth="1"/>
    <col min="6" max="6" width="43.3333333333333" customWidth="1"/>
    <col min="7" max="7" width="10" customWidth="1"/>
    <col min="8" max="8" width="23.3333333333333" customWidth="1"/>
    <col min="9" max="9" width="10.5583333333333" customWidth="1"/>
    <col min="10" max="10" width="12.2166666666667" customWidth="1"/>
  </cols>
  <sheetData>
    <row r="1" spans="1:10">
      <c r="A1" s="1" t="s">
        <v>73</v>
      </c>
      <c r="B1" s="1"/>
      <c r="C1" s="1"/>
      <c r="D1" s="1"/>
      <c r="E1" s="1"/>
      <c r="F1" s="1"/>
      <c r="G1" s="1"/>
      <c r="H1" s="1"/>
      <c r="I1" s="1"/>
      <c r="J1" s="1"/>
    </row>
    <row r="2" spans="1:10">
      <c r="A2" s="1"/>
      <c r="B2" s="1"/>
      <c r="C2" s="1"/>
      <c r="D2" s="1"/>
      <c r="E2" s="1"/>
      <c r="F2" s="1"/>
      <c r="G2" s="1"/>
      <c r="H2" s="1"/>
      <c r="I2" s="1"/>
      <c r="J2" s="1"/>
    </row>
    <row r="4" spans="1:10">
      <c r="A4" s="2" t="s">
        <v>74</v>
      </c>
      <c r="B4" s="3"/>
      <c r="C4" s="3"/>
      <c r="D4" s="3"/>
      <c r="E4" s="3"/>
      <c r="F4" s="3"/>
      <c r="G4" s="3"/>
      <c r="H4" s="3"/>
      <c r="I4" s="3"/>
      <c r="J4" s="4"/>
    </row>
    <row r="6" ht="27.6" spans="1:10">
      <c r="A6" s="5" t="s">
        <v>75</v>
      </c>
      <c r="B6" s="5" t="s">
        <v>37</v>
      </c>
      <c r="C6" s="5" t="s">
        <v>76</v>
      </c>
      <c r="D6" s="5" t="s">
        <v>40</v>
      </c>
      <c r="E6" s="5" t="s">
        <v>77</v>
      </c>
      <c r="F6" s="5" t="s">
        <v>78</v>
      </c>
      <c r="G6" s="5" t="s">
        <v>79</v>
      </c>
      <c r="H6" s="5" t="s">
        <v>80</v>
      </c>
      <c r="I6" s="5" t="s">
        <v>81</v>
      </c>
      <c r="J6" s="5" t="s">
        <v>82</v>
      </c>
    </row>
    <row r="7" ht="72" customHeight="1" spans="1:10">
      <c r="A7" s="9" t="s">
        <v>83</v>
      </c>
      <c r="B7" s="9" t="s">
        <v>41</v>
      </c>
      <c r="C7" s="9" t="s">
        <v>84</v>
      </c>
      <c r="D7" s="9" t="s">
        <v>44</v>
      </c>
      <c r="E7" s="10" t="s">
        <v>85</v>
      </c>
      <c r="F7" s="10" t="s">
        <v>86</v>
      </c>
      <c r="G7" s="11">
        <v>3</v>
      </c>
      <c r="H7" s="12">
        <v>46244.6977199074</v>
      </c>
      <c r="I7" s="9" t="s">
        <v>11</v>
      </c>
      <c r="J7" s="8" t="str">
        <f>IF(AND(OR(E7="Supported",E7="Unsupported",E7="Unclear"),LEN(TRIM(F7))&gt;=10,OR(G7=1,G7=2,G7=3),OR(ISNUMBER(H7),AND(LEN(H7)&gt;=20,MID(H7,11,1)="T",OR(RIGHT(H7,1)="Z",AND(LEN(H7)&gt;=25,OR(MID(H7,20,1)="+",MID(H7,20,1)="-"),MID(H7,23,1)=":")))),I7='Start Here'!$B$10),"PASS","INCOMPLETE")</f>
        <v>PASS</v>
      </c>
    </row>
    <row r="8" ht="72" customHeight="1" spans="1:10">
      <c r="A8" s="9" t="s">
        <v>87</v>
      </c>
      <c r="B8" s="9" t="s">
        <v>41</v>
      </c>
      <c r="C8" s="9" t="s">
        <v>88</v>
      </c>
      <c r="D8" s="9" t="s">
        <v>44</v>
      </c>
      <c r="E8" s="10" t="s">
        <v>85</v>
      </c>
      <c r="F8" s="10" t="s">
        <v>89</v>
      </c>
      <c r="G8" s="11">
        <v>3</v>
      </c>
      <c r="H8" s="12">
        <v>46244.6980208333</v>
      </c>
      <c r="I8" s="9" t="s">
        <v>11</v>
      </c>
      <c r="J8" s="8" t="str">
        <f>IF(AND(OR(E8="Supported",E8="Unsupported",E8="Unclear"),LEN(TRIM(F8))&gt;=10,OR(G8=1,G8=2,G8=3),OR(ISNUMBER(H8),AND(LEN(H8)&gt;=20,MID(H8,11,1)="T",OR(RIGHT(H8,1)="Z",AND(LEN(H8)&gt;=25,OR(MID(H8,20,1)="+",MID(H8,20,1)="-"),MID(H8,23,1)=":")))),I8='Start Here'!$B$10),"PASS","INCOMPLETE")</f>
        <v>PASS</v>
      </c>
    </row>
    <row r="9" ht="72" customHeight="1" spans="1:10">
      <c r="A9" s="9" t="s">
        <v>90</v>
      </c>
      <c r="B9" s="9" t="s">
        <v>41</v>
      </c>
      <c r="C9" s="9" t="s">
        <v>91</v>
      </c>
      <c r="D9" s="9" t="s">
        <v>44</v>
      </c>
      <c r="E9" s="10" t="s">
        <v>85</v>
      </c>
      <c r="F9" s="10" t="s">
        <v>92</v>
      </c>
      <c r="G9" s="11">
        <v>3</v>
      </c>
      <c r="H9" s="12">
        <v>46244.6986689815</v>
      </c>
      <c r="I9" s="9" t="s">
        <v>11</v>
      </c>
      <c r="J9" s="8" t="str">
        <f>IF(AND(OR(E9="Supported",E9="Unsupported",E9="Unclear"),LEN(TRIM(F9))&gt;=10,OR(G9=1,G9=2,G9=3),OR(ISNUMBER(H9),AND(LEN(H9)&gt;=20,MID(H9,11,1)="T",OR(RIGHT(H9,1)="Z",AND(LEN(H9)&gt;=25,OR(MID(H9,20,1)="+",MID(H9,20,1)="-"),MID(H9,23,1)=":")))),I9='Start Here'!$B$10),"PASS","INCOMPLETE")</f>
        <v>PASS</v>
      </c>
    </row>
    <row r="10" ht="72" customHeight="1" spans="1:10">
      <c r="A10" s="9" t="s">
        <v>93</v>
      </c>
      <c r="B10" s="9" t="s">
        <v>41</v>
      </c>
      <c r="C10" s="9" t="s">
        <v>94</v>
      </c>
      <c r="D10" s="9" t="s">
        <v>44</v>
      </c>
      <c r="E10" s="10" t="s">
        <v>85</v>
      </c>
      <c r="F10" s="10" t="s">
        <v>95</v>
      </c>
      <c r="G10" s="11">
        <v>3</v>
      </c>
      <c r="H10" s="12">
        <v>46244.6989467593</v>
      </c>
      <c r="I10" s="9" t="s">
        <v>11</v>
      </c>
      <c r="J10" s="8" t="str">
        <f>IF(AND(OR(E10="Supported",E10="Unsupported",E10="Unclear"),LEN(TRIM(F10))&gt;=10,OR(G10=1,G10=2,G10=3),OR(ISNUMBER(H10),AND(LEN(H10)&gt;=20,MID(H10,11,1)="T",OR(RIGHT(H10,1)="Z",AND(LEN(H10)&gt;=25,OR(MID(H10,20,1)="+",MID(H10,20,1)="-"),MID(H10,23,1)=":")))),I10='Start Here'!$B$10),"PASS","INCOMPLETE")</f>
        <v>PASS</v>
      </c>
    </row>
    <row r="11" ht="72" customHeight="1" spans="1:10">
      <c r="A11" s="9" t="s">
        <v>96</v>
      </c>
      <c r="B11" s="9" t="s">
        <v>41</v>
      </c>
      <c r="C11" s="9" t="s">
        <v>97</v>
      </c>
      <c r="D11" s="9" t="s">
        <v>44</v>
      </c>
      <c r="E11" s="10" t="s">
        <v>85</v>
      </c>
      <c r="F11" s="10" t="s">
        <v>98</v>
      </c>
      <c r="G11" s="11">
        <v>3</v>
      </c>
      <c r="H11" s="12">
        <v>46244.6991087963</v>
      </c>
      <c r="I11" s="9" t="s">
        <v>11</v>
      </c>
      <c r="J11" s="8" t="str">
        <f>IF(AND(OR(E11="Supported",E11="Unsupported",E11="Unclear"),LEN(TRIM(F11))&gt;=10,OR(G11=1,G11=2,G11=3),OR(ISNUMBER(H11),AND(LEN(H11)&gt;=20,MID(H11,11,1)="T",OR(RIGHT(H11,1)="Z",AND(LEN(H11)&gt;=25,OR(MID(H11,20,1)="+",MID(H11,20,1)="-"),MID(H11,23,1)=":")))),I11='Start Here'!$B$10),"PASS","INCOMPLETE")</f>
        <v>PASS</v>
      </c>
    </row>
    <row r="12" ht="72" customHeight="1" spans="1:10">
      <c r="A12" s="9" t="s">
        <v>99</v>
      </c>
      <c r="B12" s="9" t="s">
        <v>41</v>
      </c>
      <c r="C12" s="9" t="s">
        <v>100</v>
      </c>
      <c r="D12" s="9" t="s">
        <v>44</v>
      </c>
      <c r="E12" s="10" t="s">
        <v>85</v>
      </c>
      <c r="F12" s="10" t="s">
        <v>101</v>
      </c>
      <c r="G12" s="11">
        <v>3</v>
      </c>
      <c r="H12" s="12">
        <v>46244.6994907407</v>
      </c>
      <c r="I12" s="9" t="s">
        <v>11</v>
      </c>
      <c r="J12" s="8" t="str">
        <f>IF(AND(OR(E12="Supported",E12="Unsupported",E12="Unclear"),LEN(TRIM(F12))&gt;=10,OR(G12=1,G12=2,G12=3),OR(ISNUMBER(H12),AND(LEN(H12)&gt;=20,MID(H12,11,1)="T",OR(RIGHT(H12,1)="Z",AND(LEN(H12)&gt;=25,OR(MID(H12,20,1)="+",MID(H12,20,1)="-"),MID(H12,23,1)=":")))),I12='Start Here'!$B$10),"PASS","INCOMPLETE")</f>
        <v>PASS</v>
      </c>
    </row>
    <row r="13" ht="72" customHeight="1" spans="1:10">
      <c r="A13" s="9" t="s">
        <v>102</v>
      </c>
      <c r="B13" s="9" t="s">
        <v>41</v>
      </c>
      <c r="C13" s="9" t="s">
        <v>103</v>
      </c>
      <c r="D13" s="9" t="s">
        <v>44</v>
      </c>
      <c r="E13" s="10" t="s">
        <v>85</v>
      </c>
      <c r="F13" s="10" t="s">
        <v>104</v>
      </c>
      <c r="G13" s="11">
        <v>3</v>
      </c>
      <c r="H13" s="12">
        <v>46244.699849537</v>
      </c>
      <c r="I13" s="9" t="s">
        <v>11</v>
      </c>
      <c r="J13" s="8" t="str">
        <f>IF(AND(OR(E13="Supported",E13="Unsupported",E13="Unclear"),LEN(TRIM(F13))&gt;=10,OR(G13=1,G13=2,G13=3),OR(ISNUMBER(H13),AND(LEN(H13)&gt;=20,MID(H13,11,1)="T",OR(RIGHT(H13,1)="Z",AND(LEN(H13)&gt;=25,OR(MID(H13,20,1)="+",MID(H13,20,1)="-"),MID(H13,23,1)=":")))),I13='Start Here'!$B$10),"PASS","INCOMPLETE")</f>
        <v>PASS</v>
      </c>
    </row>
    <row r="14" ht="72" customHeight="1" spans="1:10">
      <c r="A14" s="9" t="s">
        <v>105</v>
      </c>
      <c r="B14" s="9" t="s">
        <v>45</v>
      </c>
      <c r="C14" s="9" t="s">
        <v>84</v>
      </c>
      <c r="D14" s="9" t="s">
        <v>47</v>
      </c>
      <c r="E14" s="10" t="s">
        <v>85</v>
      </c>
      <c r="F14" s="10" t="s">
        <v>106</v>
      </c>
      <c r="G14" s="11">
        <v>3</v>
      </c>
      <c r="H14" s="12">
        <v>46244.7002893519</v>
      </c>
      <c r="I14" s="9" t="s">
        <v>11</v>
      </c>
      <c r="J14" s="8" t="str">
        <f>IF(AND(OR(E14="Supported",E14="Unsupported",E14="Unclear"),LEN(TRIM(F14))&gt;=10,OR(G14=1,G14=2,G14=3),OR(ISNUMBER(H14),AND(LEN(H14)&gt;=20,MID(H14,11,1)="T",OR(RIGHT(H14,1)="Z",AND(LEN(H14)&gt;=25,OR(MID(H14,20,1)="+",MID(H14,20,1)="-"),MID(H14,23,1)=":")))),I14='Start Here'!$B$10),"PASS","INCOMPLETE")</f>
        <v>PASS</v>
      </c>
    </row>
    <row r="15" ht="72" customHeight="1" spans="1:10">
      <c r="A15" s="9" t="s">
        <v>107</v>
      </c>
      <c r="B15" s="9" t="s">
        <v>45</v>
      </c>
      <c r="C15" s="9" t="s">
        <v>108</v>
      </c>
      <c r="D15" s="9" t="s">
        <v>47</v>
      </c>
      <c r="E15" s="10" t="s">
        <v>85</v>
      </c>
      <c r="F15" s="10" t="s">
        <v>109</v>
      </c>
      <c r="G15" s="11">
        <v>3</v>
      </c>
      <c r="H15" s="12">
        <v>46244.7005787037</v>
      </c>
      <c r="I15" s="9" t="s">
        <v>11</v>
      </c>
      <c r="J15" s="8" t="str">
        <f>IF(AND(OR(E15="Supported",E15="Unsupported",E15="Unclear"),LEN(TRIM(F15))&gt;=10,OR(G15=1,G15=2,G15=3),OR(ISNUMBER(H15),AND(LEN(H15)&gt;=20,MID(H15,11,1)="T",OR(RIGHT(H15,1)="Z",AND(LEN(H15)&gt;=25,OR(MID(H15,20,1)="+",MID(H15,20,1)="-"),MID(H15,23,1)=":")))),I15='Start Here'!$B$10),"PASS","INCOMPLETE")</f>
        <v>PASS</v>
      </c>
    </row>
    <row r="16" ht="72" customHeight="1" spans="1:10">
      <c r="A16" s="9" t="s">
        <v>110</v>
      </c>
      <c r="B16" s="9" t="s">
        <v>48</v>
      </c>
      <c r="C16" s="9" t="s">
        <v>111</v>
      </c>
      <c r="D16" s="9" t="s">
        <v>50</v>
      </c>
      <c r="E16" s="10" t="s">
        <v>85</v>
      </c>
      <c r="F16" s="10" t="s">
        <v>112</v>
      </c>
      <c r="G16" s="11">
        <v>3</v>
      </c>
      <c r="H16" s="12">
        <v>46244.7011226852</v>
      </c>
      <c r="I16" s="9" t="s">
        <v>11</v>
      </c>
      <c r="J16" s="8" t="str">
        <f>IF(AND(OR(E16="Supported",E16="Unsupported",E16="Unclear"),LEN(TRIM(F16))&gt;=10,OR(G16=1,G16=2,G16=3),OR(ISNUMBER(H16),AND(LEN(H16)&gt;=20,MID(H16,11,1)="T",OR(RIGHT(H16,1)="Z",AND(LEN(H16)&gt;=25,OR(MID(H16,20,1)="+",MID(H16,20,1)="-"),MID(H16,23,1)=":")))),I16='Start Here'!$B$10),"PASS","INCOMPLETE")</f>
        <v>PASS</v>
      </c>
    </row>
    <row r="17" ht="72" customHeight="1" spans="1:10">
      <c r="A17" s="9" t="s">
        <v>113</v>
      </c>
      <c r="B17" s="9" t="s">
        <v>48</v>
      </c>
      <c r="C17" s="9" t="s">
        <v>114</v>
      </c>
      <c r="D17" s="9" t="s">
        <v>50</v>
      </c>
      <c r="E17" s="10" t="s">
        <v>85</v>
      </c>
      <c r="F17" s="10" t="s">
        <v>115</v>
      </c>
      <c r="G17" s="11">
        <v>3</v>
      </c>
      <c r="H17" s="12">
        <v>46244.7015509259</v>
      </c>
      <c r="I17" s="9" t="s">
        <v>11</v>
      </c>
      <c r="J17" s="8" t="str">
        <f>IF(AND(OR(E17="Supported",E17="Unsupported",E17="Unclear"),LEN(TRIM(F17))&gt;=10,OR(G17=1,G17=2,G17=3),OR(ISNUMBER(H17),AND(LEN(H17)&gt;=20,MID(H17,11,1)="T",OR(RIGHT(H17,1)="Z",AND(LEN(H17)&gt;=25,OR(MID(H17,20,1)="+",MID(H17,20,1)="-"),MID(H17,23,1)=":")))),I17='Start Here'!$B$10),"PASS","INCOMPLETE")</f>
        <v>PASS</v>
      </c>
    </row>
    <row r="18" ht="72" customHeight="1" spans="1:10">
      <c r="A18" s="9" t="s">
        <v>116</v>
      </c>
      <c r="B18" s="9" t="s">
        <v>48</v>
      </c>
      <c r="C18" s="9" t="s">
        <v>117</v>
      </c>
      <c r="D18" s="9" t="s">
        <v>50</v>
      </c>
      <c r="E18" s="10" t="s">
        <v>85</v>
      </c>
      <c r="F18" s="10" t="s">
        <v>118</v>
      </c>
      <c r="G18" s="11">
        <v>3</v>
      </c>
      <c r="H18" s="12">
        <v>46244.7022569444</v>
      </c>
      <c r="I18" s="9" t="s">
        <v>11</v>
      </c>
      <c r="J18" s="8" t="str">
        <f>IF(AND(OR(E18="Supported",E18="Unsupported",E18="Unclear"),LEN(TRIM(F18))&gt;=10,OR(G18=1,G18=2,G18=3),OR(ISNUMBER(H18),AND(LEN(H18)&gt;=20,MID(H18,11,1)="T",OR(RIGHT(H18,1)="Z",AND(LEN(H18)&gt;=25,OR(MID(H18,20,1)="+",MID(H18,20,1)="-"),MID(H18,23,1)=":")))),I18='Start Here'!$B$10),"PASS","INCOMPLETE")</f>
        <v>PASS</v>
      </c>
    </row>
    <row r="19" ht="72" customHeight="1" spans="1:10">
      <c r="A19" s="9" t="s">
        <v>119</v>
      </c>
      <c r="B19" s="9" t="s">
        <v>48</v>
      </c>
      <c r="C19" s="9" t="s">
        <v>120</v>
      </c>
      <c r="D19" s="9" t="s">
        <v>50</v>
      </c>
      <c r="E19" s="10" t="s">
        <v>85</v>
      </c>
      <c r="F19" s="10" t="s">
        <v>121</v>
      </c>
      <c r="G19" s="11">
        <v>3</v>
      </c>
      <c r="H19" s="12">
        <v>46244.7026851852</v>
      </c>
      <c r="I19" s="9" t="s">
        <v>11</v>
      </c>
      <c r="J19" s="8" t="str">
        <f>IF(AND(OR(E19="Supported",E19="Unsupported",E19="Unclear"),LEN(TRIM(F19))&gt;=10,OR(G19=1,G19=2,G19=3),OR(ISNUMBER(H19),AND(LEN(H19)&gt;=20,MID(H19,11,1)="T",OR(RIGHT(H19,1)="Z",AND(LEN(H19)&gt;=25,OR(MID(H19,20,1)="+",MID(H19,20,1)="-"),MID(H19,23,1)=":")))),I19='Start Here'!$B$10),"PASS","INCOMPLETE")</f>
        <v>PASS</v>
      </c>
    </row>
    <row r="20" ht="72" customHeight="1" spans="1:10">
      <c r="A20" s="9" t="s">
        <v>122</v>
      </c>
      <c r="B20" s="9" t="s">
        <v>48</v>
      </c>
      <c r="C20" s="9" t="s">
        <v>123</v>
      </c>
      <c r="D20" s="9" t="s">
        <v>50</v>
      </c>
      <c r="E20" s="10" t="s">
        <v>85</v>
      </c>
      <c r="F20" s="10" t="s">
        <v>124</v>
      </c>
      <c r="G20" s="11">
        <v>3</v>
      </c>
      <c r="H20" s="12">
        <v>46244.7030671296</v>
      </c>
      <c r="I20" s="9" t="s">
        <v>11</v>
      </c>
      <c r="J20" s="8" t="str">
        <f>IF(AND(OR(E20="Supported",E20="Unsupported",E20="Unclear"),LEN(TRIM(F20))&gt;=10,OR(G20=1,G20=2,G20=3),OR(ISNUMBER(H20),AND(LEN(H20)&gt;=20,MID(H20,11,1)="T",OR(RIGHT(H20,1)="Z",AND(LEN(H20)&gt;=25,OR(MID(H20,20,1)="+",MID(H20,20,1)="-"),MID(H20,23,1)=":")))),I20='Start Here'!$B$10),"PASS","INCOMPLETE")</f>
        <v>PASS</v>
      </c>
    </row>
    <row r="21" ht="72" customHeight="1" spans="1:10">
      <c r="A21" s="9" t="s">
        <v>125</v>
      </c>
      <c r="B21" s="9" t="s">
        <v>51</v>
      </c>
      <c r="C21" s="9" t="s">
        <v>126</v>
      </c>
      <c r="D21" s="9" t="s">
        <v>54</v>
      </c>
      <c r="E21" s="10" t="s">
        <v>85</v>
      </c>
      <c r="F21" s="10" t="s">
        <v>127</v>
      </c>
      <c r="G21" s="11">
        <v>2</v>
      </c>
      <c r="H21" s="12">
        <v>46244.7036111111</v>
      </c>
      <c r="I21" s="9" t="s">
        <v>11</v>
      </c>
      <c r="J21" s="8" t="str">
        <f>IF(AND(OR(E21="Supported",E21="Unsupported",E21="Unclear"),LEN(TRIM(F21))&gt;=10,OR(G21=1,G21=2,G21=3),OR(ISNUMBER(H21),AND(LEN(H21)&gt;=20,MID(H21,11,1)="T",OR(RIGHT(H21,1)="Z",AND(LEN(H21)&gt;=25,OR(MID(H21,20,1)="+",MID(H21,20,1)="-"),MID(H21,23,1)=":")))),I21='Start Here'!$B$10),"PASS","INCOMPLETE")</f>
        <v>PASS</v>
      </c>
    </row>
    <row r="22" ht="72" customHeight="1" spans="1:10">
      <c r="A22" s="9" t="s">
        <v>128</v>
      </c>
      <c r="B22" s="9" t="s">
        <v>51</v>
      </c>
      <c r="C22" s="9" t="s">
        <v>129</v>
      </c>
      <c r="D22" s="9" t="s">
        <v>54</v>
      </c>
      <c r="E22" s="10" t="s">
        <v>85</v>
      </c>
      <c r="F22" s="10" t="s">
        <v>130</v>
      </c>
      <c r="G22" s="11">
        <v>3</v>
      </c>
      <c r="H22" s="12">
        <v>46244.7040740741</v>
      </c>
      <c r="I22" s="9" t="s">
        <v>11</v>
      </c>
      <c r="J22" s="8" t="str">
        <f>IF(AND(OR(E22="Supported",E22="Unsupported",E22="Unclear"),LEN(TRIM(F22))&gt;=10,OR(G22=1,G22=2,G22=3),OR(ISNUMBER(H22),AND(LEN(H22)&gt;=20,MID(H22,11,1)="T",OR(RIGHT(H22,1)="Z",AND(LEN(H22)&gt;=25,OR(MID(H22,20,1)="+",MID(H22,20,1)="-"),MID(H22,23,1)=":")))),I22='Start Here'!$B$10),"PASS","INCOMPLETE")</f>
        <v>PASS</v>
      </c>
    </row>
    <row r="23" ht="72" customHeight="1" spans="1:10">
      <c r="A23" s="9" t="s">
        <v>131</v>
      </c>
      <c r="B23" s="9" t="s">
        <v>51</v>
      </c>
      <c r="C23" s="9" t="s">
        <v>132</v>
      </c>
      <c r="D23" s="9" t="s">
        <v>54</v>
      </c>
      <c r="E23" s="10" t="s">
        <v>85</v>
      </c>
      <c r="F23" s="10" t="s">
        <v>133</v>
      </c>
      <c r="G23" s="11">
        <v>2</v>
      </c>
      <c r="H23" s="12">
        <v>46244.705</v>
      </c>
      <c r="I23" s="9" t="s">
        <v>11</v>
      </c>
      <c r="J23" s="8" t="str">
        <f>IF(AND(OR(E23="Supported",E23="Unsupported",E23="Unclear"),LEN(TRIM(F23))&gt;=10,OR(G23=1,G23=2,G23=3),OR(ISNUMBER(H23),AND(LEN(H23)&gt;=20,MID(H23,11,1)="T",OR(RIGHT(H23,1)="Z",AND(LEN(H23)&gt;=25,OR(MID(H23,20,1)="+",MID(H23,20,1)="-"),MID(H23,23,1)=":")))),I23='Start Here'!$B$10),"PASS","INCOMPLETE")</f>
        <v>PASS</v>
      </c>
    </row>
    <row r="24" ht="72" customHeight="1" spans="1:10">
      <c r="A24" s="9" t="s">
        <v>134</v>
      </c>
      <c r="B24" s="9" t="s">
        <v>51</v>
      </c>
      <c r="C24" s="9" t="s">
        <v>135</v>
      </c>
      <c r="D24" s="9" t="s">
        <v>54</v>
      </c>
      <c r="E24" s="10" t="s">
        <v>85</v>
      </c>
      <c r="F24" s="10" t="s">
        <v>136</v>
      </c>
      <c r="G24" s="11">
        <v>3</v>
      </c>
      <c r="H24" s="12">
        <v>46244.705462963</v>
      </c>
      <c r="I24" s="9" t="s">
        <v>11</v>
      </c>
      <c r="J24" s="8" t="str">
        <f>IF(AND(OR(E24="Supported",E24="Unsupported",E24="Unclear"),LEN(TRIM(F24))&gt;=10,OR(G24=1,G24=2,G24=3),OR(ISNUMBER(H24),AND(LEN(H24)&gt;=20,MID(H24,11,1)="T",OR(RIGHT(H24,1)="Z",AND(LEN(H24)&gt;=25,OR(MID(H24,20,1)="+",MID(H24,20,1)="-"),MID(H24,23,1)=":")))),I24='Start Here'!$B$10),"PASS","INCOMPLETE")</f>
        <v>PASS</v>
      </c>
    </row>
    <row r="25" ht="72" customHeight="1" spans="1:10">
      <c r="A25" s="9" t="s">
        <v>137</v>
      </c>
      <c r="B25" s="9" t="s">
        <v>55</v>
      </c>
      <c r="C25" s="9" t="s">
        <v>138</v>
      </c>
      <c r="D25" s="9" t="s">
        <v>58</v>
      </c>
      <c r="E25" s="10" t="s">
        <v>85</v>
      </c>
      <c r="F25" s="10" t="s">
        <v>139</v>
      </c>
      <c r="G25" s="11">
        <v>3</v>
      </c>
      <c r="H25" s="12">
        <v>46244.7057175926</v>
      </c>
      <c r="I25" s="9" t="s">
        <v>11</v>
      </c>
      <c r="J25" s="8" t="str">
        <f>IF(AND(OR(E25="Supported",E25="Unsupported",E25="Unclear"),LEN(TRIM(F25))&gt;=10,OR(G25=1,G25=2,G25=3),OR(ISNUMBER(H25),AND(LEN(H25)&gt;=20,MID(H25,11,1)="T",OR(RIGHT(H25,1)="Z",AND(LEN(H25)&gt;=25,OR(MID(H25,20,1)="+",MID(H25,20,1)="-"),MID(H25,23,1)=":")))),I25='Start Here'!$B$10),"PASS","INCOMPLETE")</f>
        <v>PASS</v>
      </c>
    </row>
    <row r="26" ht="72" customHeight="1" spans="1:10">
      <c r="A26" s="9" t="s">
        <v>140</v>
      </c>
      <c r="B26" s="9" t="s">
        <v>55</v>
      </c>
      <c r="C26" s="9" t="s">
        <v>141</v>
      </c>
      <c r="D26" s="9" t="s">
        <v>58</v>
      </c>
      <c r="E26" s="10" t="s">
        <v>85</v>
      </c>
      <c r="F26" s="10" t="s">
        <v>142</v>
      </c>
      <c r="G26" s="11">
        <v>3</v>
      </c>
      <c r="H26" s="12">
        <v>46244.7062384259</v>
      </c>
      <c r="I26" s="9" t="s">
        <v>11</v>
      </c>
      <c r="J26" s="8" t="str">
        <f>IF(AND(OR(E26="Supported",E26="Unsupported",E26="Unclear"),LEN(TRIM(F26))&gt;=10,OR(G26=1,G26=2,G26=3),OR(ISNUMBER(H26),AND(LEN(H26)&gt;=20,MID(H26,11,1)="T",OR(RIGHT(H26,1)="Z",AND(LEN(H26)&gt;=25,OR(MID(H26,20,1)="+",MID(H26,20,1)="-"),MID(H26,23,1)=":")))),I26='Start Here'!$B$10),"PASS","INCOMPLETE")</f>
        <v>PASS</v>
      </c>
    </row>
    <row r="27" ht="72" customHeight="1" spans="1:10">
      <c r="A27" s="9" t="s">
        <v>143</v>
      </c>
      <c r="B27" s="9" t="s">
        <v>55</v>
      </c>
      <c r="C27" s="9" t="s">
        <v>144</v>
      </c>
      <c r="D27" s="9" t="s">
        <v>58</v>
      </c>
      <c r="E27" s="10" t="s">
        <v>85</v>
      </c>
      <c r="F27" s="10" t="s">
        <v>145</v>
      </c>
      <c r="G27" s="11">
        <v>3</v>
      </c>
      <c r="H27" s="12">
        <v>46244.7065046296</v>
      </c>
      <c r="I27" s="9" t="s">
        <v>11</v>
      </c>
      <c r="J27" s="8" t="str">
        <f>IF(AND(OR(E27="Supported",E27="Unsupported",E27="Unclear"),LEN(TRIM(F27))&gt;=10,OR(G27=1,G27=2,G27=3),OR(ISNUMBER(H27),AND(LEN(H27)&gt;=20,MID(H27,11,1)="T",OR(RIGHT(H27,1)="Z",AND(LEN(H27)&gt;=25,OR(MID(H27,20,1)="+",MID(H27,20,1)="-"),MID(H27,23,1)=":")))),I27='Start Here'!$B$10),"PASS","INCOMPLETE")</f>
        <v>PASS</v>
      </c>
    </row>
    <row r="28" ht="72" customHeight="1" spans="1:10">
      <c r="A28" s="9" t="s">
        <v>146</v>
      </c>
      <c r="B28" s="9" t="s">
        <v>55</v>
      </c>
      <c r="C28" s="9" t="s">
        <v>147</v>
      </c>
      <c r="D28" s="9" t="s">
        <v>58</v>
      </c>
      <c r="E28" s="10" t="s">
        <v>85</v>
      </c>
      <c r="F28" s="10" t="s">
        <v>148</v>
      </c>
      <c r="G28" s="11">
        <v>3</v>
      </c>
      <c r="H28" s="12">
        <v>46244.7068981481</v>
      </c>
      <c r="I28" s="9" t="s">
        <v>11</v>
      </c>
      <c r="J28" s="8" t="str">
        <f>IF(AND(OR(E28="Supported",E28="Unsupported",E28="Unclear"),LEN(TRIM(F28))&gt;=10,OR(G28=1,G28=2,G28=3),OR(ISNUMBER(H28),AND(LEN(H28)&gt;=20,MID(H28,11,1)="T",OR(RIGHT(H28,1)="Z",AND(LEN(H28)&gt;=25,OR(MID(H28,20,1)="+",MID(H28,20,1)="-"),MID(H28,23,1)=":")))),I28='Start Here'!$B$10),"PASS","INCOMPLETE")</f>
        <v>PASS</v>
      </c>
    </row>
    <row r="29" ht="72" customHeight="1" spans="1:10">
      <c r="A29" s="9" t="s">
        <v>149</v>
      </c>
      <c r="B29" s="9" t="s">
        <v>55</v>
      </c>
      <c r="C29" s="9" t="s">
        <v>150</v>
      </c>
      <c r="D29" s="9" t="s">
        <v>58</v>
      </c>
      <c r="E29" s="10" t="s">
        <v>85</v>
      </c>
      <c r="F29" s="10" t="s">
        <v>151</v>
      </c>
      <c r="G29" s="11">
        <v>3</v>
      </c>
      <c r="H29" s="12">
        <v>46244.7071296296</v>
      </c>
      <c r="I29" s="9" t="s">
        <v>11</v>
      </c>
      <c r="J29" s="8" t="str">
        <f>IF(AND(OR(E29="Supported",E29="Unsupported",E29="Unclear"),LEN(TRIM(F29))&gt;=10,OR(G29=1,G29=2,G29=3),OR(ISNUMBER(H29),AND(LEN(H29)&gt;=20,MID(H29,11,1)="T",OR(RIGHT(H29,1)="Z",AND(LEN(H29)&gt;=25,OR(MID(H29,20,1)="+",MID(H29,20,1)="-"),MID(H29,23,1)=":")))),I29='Start Here'!$B$10),"PASS","INCOMPLETE")</f>
        <v>PASS</v>
      </c>
    </row>
    <row r="30" ht="72" customHeight="1" spans="1:10">
      <c r="A30" s="9" t="s">
        <v>152</v>
      </c>
      <c r="B30" s="9" t="s">
        <v>55</v>
      </c>
      <c r="C30" s="9" t="s">
        <v>153</v>
      </c>
      <c r="D30" s="9" t="s">
        <v>58</v>
      </c>
      <c r="E30" s="10" t="s">
        <v>85</v>
      </c>
      <c r="F30" s="10" t="s">
        <v>154</v>
      </c>
      <c r="G30" s="11">
        <v>2</v>
      </c>
      <c r="H30" s="12">
        <v>46244.7075231482</v>
      </c>
      <c r="I30" s="9" t="s">
        <v>11</v>
      </c>
      <c r="J30" s="8" t="str">
        <f>IF(AND(OR(E30="Supported",E30="Unsupported",E30="Unclear"),LEN(TRIM(F30))&gt;=10,OR(G30=1,G30=2,G30=3),OR(ISNUMBER(H30),AND(LEN(H30)&gt;=20,MID(H30,11,1)="T",OR(RIGHT(H30,1)="Z",AND(LEN(H30)&gt;=25,OR(MID(H30,20,1)="+",MID(H30,20,1)="-"),MID(H30,23,1)=":")))),I30='Start Here'!$B$10),"PASS","INCOMPLETE")</f>
        <v>PASS</v>
      </c>
    </row>
    <row r="31" ht="72" customHeight="1" spans="1:10">
      <c r="A31" s="9" t="s">
        <v>155</v>
      </c>
      <c r="B31" s="9" t="s">
        <v>59</v>
      </c>
      <c r="C31" s="9" t="s">
        <v>156</v>
      </c>
      <c r="D31" s="9" t="s">
        <v>61</v>
      </c>
      <c r="E31" s="10" t="s">
        <v>85</v>
      </c>
      <c r="F31" s="10" t="s">
        <v>157</v>
      </c>
      <c r="G31" s="11">
        <v>3</v>
      </c>
      <c r="H31" s="12">
        <v>46244.7080671296</v>
      </c>
      <c r="I31" s="9" t="s">
        <v>11</v>
      </c>
      <c r="J31" s="8" t="str">
        <f>IF(AND(OR(E31="Supported",E31="Unsupported",E31="Unclear"),LEN(TRIM(F31))&gt;=10,OR(G31=1,G31=2,G31=3),OR(ISNUMBER(H31),AND(LEN(H31)&gt;=20,MID(H31,11,1)="T",OR(RIGHT(H31,1)="Z",AND(LEN(H31)&gt;=25,OR(MID(H31,20,1)="+",MID(H31,20,1)="-"),MID(H31,23,1)=":")))),I31='Start Here'!$B$10),"PASS","INCOMPLETE")</f>
        <v>PASS</v>
      </c>
    </row>
    <row r="32" ht="72" customHeight="1" spans="1:10">
      <c r="A32" s="9" t="s">
        <v>158</v>
      </c>
      <c r="B32" s="9" t="s">
        <v>59</v>
      </c>
      <c r="C32" s="9" t="s">
        <v>159</v>
      </c>
      <c r="D32" s="9" t="s">
        <v>61</v>
      </c>
      <c r="E32" s="10" t="s">
        <v>85</v>
      </c>
      <c r="F32" s="10" t="s">
        <v>160</v>
      </c>
      <c r="G32" s="11">
        <v>3</v>
      </c>
      <c r="H32" s="12">
        <v>46244.7085763889</v>
      </c>
      <c r="I32" s="9" t="s">
        <v>11</v>
      </c>
      <c r="J32" s="8" t="str">
        <f>IF(AND(OR(E32="Supported",E32="Unsupported",E32="Unclear"),LEN(TRIM(F32))&gt;=10,OR(G32=1,G32=2,G32=3),OR(ISNUMBER(H32),AND(LEN(H32)&gt;=20,MID(H32,11,1)="T",OR(RIGHT(H32,1)="Z",AND(LEN(H32)&gt;=25,OR(MID(H32,20,1)="+",MID(H32,20,1)="-"),MID(H32,23,1)=":")))),I32='Start Here'!$B$10),"PASS","INCOMPLETE")</f>
        <v>PASS</v>
      </c>
    </row>
    <row r="33" ht="72" customHeight="1" spans="1:10">
      <c r="A33" s="9" t="s">
        <v>161</v>
      </c>
      <c r="B33" s="9" t="s">
        <v>59</v>
      </c>
      <c r="C33" s="9" t="s">
        <v>117</v>
      </c>
      <c r="D33" s="9" t="s">
        <v>61</v>
      </c>
      <c r="E33" s="10" t="s">
        <v>85</v>
      </c>
      <c r="F33" s="10" t="s">
        <v>162</v>
      </c>
      <c r="G33" s="11">
        <v>3</v>
      </c>
      <c r="H33" s="12">
        <v>46244.7088310185</v>
      </c>
      <c r="I33" s="9" t="s">
        <v>11</v>
      </c>
      <c r="J33" s="8" t="str">
        <f>IF(AND(OR(E33="Supported",E33="Unsupported",E33="Unclear"),LEN(TRIM(F33))&gt;=10,OR(G33=1,G33=2,G33=3),OR(ISNUMBER(H33),AND(LEN(H33)&gt;=20,MID(H33,11,1)="T",OR(RIGHT(H33,1)="Z",AND(LEN(H33)&gt;=25,OR(MID(H33,20,1)="+",MID(H33,20,1)="-"),MID(H33,23,1)=":")))),I33='Start Here'!$B$10),"PASS","INCOMPLETE")</f>
        <v>PASS</v>
      </c>
    </row>
    <row r="34" ht="72" customHeight="1" spans="1:10">
      <c r="A34" s="9" t="s">
        <v>163</v>
      </c>
      <c r="B34" s="9" t="s">
        <v>59</v>
      </c>
      <c r="C34" s="9" t="s">
        <v>164</v>
      </c>
      <c r="D34" s="9" t="s">
        <v>61</v>
      </c>
      <c r="E34" s="10" t="s">
        <v>85</v>
      </c>
      <c r="F34" s="10" t="s">
        <v>165</v>
      </c>
      <c r="G34" s="11">
        <v>3</v>
      </c>
      <c r="H34" s="12">
        <v>46244.7089930556</v>
      </c>
      <c r="I34" s="9" t="s">
        <v>11</v>
      </c>
      <c r="J34" s="8" t="str">
        <f>IF(AND(OR(E34="Supported",E34="Unsupported",E34="Unclear"),LEN(TRIM(F34))&gt;=10,OR(G34=1,G34=2,G34=3),OR(ISNUMBER(H34),AND(LEN(H34)&gt;=20,MID(H34,11,1)="T",OR(RIGHT(H34,1)="Z",AND(LEN(H34)&gt;=25,OR(MID(H34,20,1)="+",MID(H34,20,1)="-"),MID(H34,23,1)=":")))),I34='Start Here'!$B$10),"PASS","INCOMPLETE")</f>
        <v>PASS</v>
      </c>
    </row>
    <row r="35" ht="72" customHeight="1" spans="1:10">
      <c r="A35" s="9" t="s">
        <v>166</v>
      </c>
      <c r="B35" s="9" t="s">
        <v>59</v>
      </c>
      <c r="C35" s="9" t="s">
        <v>167</v>
      </c>
      <c r="D35" s="9" t="s">
        <v>61</v>
      </c>
      <c r="E35" s="10" t="s">
        <v>85</v>
      </c>
      <c r="F35" s="10" t="s">
        <v>168</v>
      </c>
      <c r="G35" s="11">
        <v>3</v>
      </c>
      <c r="H35" s="12">
        <v>46244.7094328704</v>
      </c>
      <c r="I35" s="9" t="s">
        <v>11</v>
      </c>
      <c r="J35" s="8" t="str">
        <f>IF(AND(OR(E35="Supported",E35="Unsupported",E35="Unclear"),LEN(TRIM(F35))&gt;=10,OR(G35=1,G35=2,G35=3),OR(ISNUMBER(H35),AND(LEN(H35)&gt;=20,MID(H35,11,1)="T",OR(RIGHT(H35,1)="Z",AND(LEN(H35)&gt;=25,OR(MID(H35,20,1)="+",MID(H35,20,1)="-"),MID(H35,23,1)=":")))),I35='Start Here'!$B$10),"PASS","INCOMPLETE")</f>
        <v>PASS</v>
      </c>
    </row>
    <row r="36" ht="72" customHeight="1" spans="1:10">
      <c r="A36" s="9" t="s">
        <v>169</v>
      </c>
      <c r="B36" s="9" t="s">
        <v>62</v>
      </c>
      <c r="C36" s="9" t="s">
        <v>170</v>
      </c>
      <c r="D36" s="9" t="s">
        <v>65</v>
      </c>
      <c r="E36" s="10" t="s">
        <v>85</v>
      </c>
      <c r="F36" s="10" t="s">
        <v>171</v>
      </c>
      <c r="G36" s="11">
        <v>3</v>
      </c>
      <c r="H36" s="12">
        <v>46244.7096759259</v>
      </c>
      <c r="I36" s="9" t="s">
        <v>11</v>
      </c>
      <c r="J36" s="8" t="str">
        <f>IF(AND(OR(E36="Supported",E36="Unsupported",E36="Unclear"),LEN(TRIM(F36))&gt;=10,OR(G36=1,G36=2,G36=3),OR(ISNUMBER(H36),AND(LEN(H36)&gt;=20,MID(H36,11,1)="T",OR(RIGHT(H36,1)="Z",AND(LEN(H36)&gt;=25,OR(MID(H36,20,1)="+",MID(H36,20,1)="-"),MID(H36,23,1)=":")))),I36='Start Here'!$B$10),"PASS","INCOMPLETE")</f>
        <v>PASS</v>
      </c>
    </row>
    <row r="37" ht="72" customHeight="1" spans="1:10">
      <c r="A37" s="9" t="s">
        <v>172</v>
      </c>
      <c r="B37" s="9" t="s">
        <v>62</v>
      </c>
      <c r="C37" s="9" t="s">
        <v>173</v>
      </c>
      <c r="D37" s="9" t="s">
        <v>65</v>
      </c>
      <c r="E37" s="10" t="s">
        <v>85</v>
      </c>
      <c r="F37" s="10" t="s">
        <v>174</v>
      </c>
      <c r="G37" s="11">
        <v>3</v>
      </c>
      <c r="H37" s="12">
        <v>46244.7099074074</v>
      </c>
      <c r="I37" s="9" t="s">
        <v>11</v>
      </c>
      <c r="J37" s="8" t="str">
        <f>IF(AND(OR(E37="Supported",E37="Unsupported",E37="Unclear"),LEN(TRIM(F37))&gt;=10,OR(G37=1,G37=2,G37=3),OR(ISNUMBER(H37),AND(LEN(H37)&gt;=20,MID(H37,11,1)="T",OR(RIGHT(H37,1)="Z",AND(LEN(H37)&gt;=25,OR(MID(H37,20,1)="+",MID(H37,20,1)="-"),MID(H37,23,1)=":")))),I37='Start Here'!$B$10),"PASS","INCOMPLETE")</f>
        <v>PASS</v>
      </c>
    </row>
    <row r="38" ht="72" customHeight="1" spans="1:10">
      <c r="A38" s="9" t="s">
        <v>175</v>
      </c>
      <c r="B38" s="9" t="s">
        <v>62</v>
      </c>
      <c r="C38" s="9" t="s">
        <v>176</v>
      </c>
      <c r="D38" s="9" t="s">
        <v>65</v>
      </c>
      <c r="E38" s="10" t="s">
        <v>85</v>
      </c>
      <c r="F38" s="10" t="s">
        <v>177</v>
      </c>
      <c r="G38" s="11">
        <v>3</v>
      </c>
      <c r="H38" s="12">
        <v>46244.7112152778</v>
      </c>
      <c r="I38" s="9" t="s">
        <v>11</v>
      </c>
      <c r="J38" s="8" t="str">
        <f>IF(AND(OR(E38="Supported",E38="Unsupported",E38="Unclear"),LEN(TRIM(F38))&gt;=10,OR(G38=1,G38=2,G38=3),OR(ISNUMBER(H38),AND(LEN(H38)&gt;=20,MID(H38,11,1)="T",OR(RIGHT(H38,1)="Z",AND(LEN(H38)&gt;=25,OR(MID(H38,20,1)="+",MID(H38,20,1)="-"),MID(H38,23,1)=":")))),I38='Start Here'!$B$10),"PASS","INCOMPLETE")</f>
        <v>PASS</v>
      </c>
    </row>
    <row r="39" ht="72" customHeight="1" spans="1:10">
      <c r="A39" s="9" t="s">
        <v>178</v>
      </c>
      <c r="B39" s="9" t="s">
        <v>62</v>
      </c>
      <c r="C39" s="9" t="s">
        <v>179</v>
      </c>
      <c r="D39" s="9" t="s">
        <v>65</v>
      </c>
      <c r="E39" s="10" t="s">
        <v>85</v>
      </c>
      <c r="F39" s="10" t="s">
        <v>180</v>
      </c>
      <c r="G39" s="11">
        <v>3</v>
      </c>
      <c r="H39" s="12">
        <v>46244.7113888889</v>
      </c>
      <c r="I39" s="9" t="s">
        <v>11</v>
      </c>
      <c r="J39" s="8" t="str">
        <f>IF(AND(OR(E39="Supported",E39="Unsupported",E39="Unclear"),LEN(TRIM(F39))&gt;=10,OR(G39=1,G39=2,G39=3),OR(ISNUMBER(H39),AND(LEN(H39)&gt;=20,MID(H39,11,1)="T",OR(RIGHT(H39,1)="Z",AND(LEN(H39)&gt;=25,OR(MID(H39,20,1)="+",MID(H39,20,1)="-"),MID(H39,23,1)=":")))),I39='Start Here'!$B$10),"PASS","INCOMPLETE")</f>
        <v>PASS</v>
      </c>
    </row>
    <row r="40" ht="72" customHeight="1" spans="1:10">
      <c r="A40" s="9" t="s">
        <v>181</v>
      </c>
      <c r="B40" s="9" t="s">
        <v>62</v>
      </c>
      <c r="C40" s="9" t="s">
        <v>182</v>
      </c>
      <c r="D40" s="9" t="s">
        <v>65</v>
      </c>
      <c r="E40" s="10" t="s">
        <v>85</v>
      </c>
      <c r="F40" s="10" t="s">
        <v>183</v>
      </c>
      <c r="G40" s="11">
        <v>3</v>
      </c>
      <c r="H40" s="12">
        <v>46244.7118518519</v>
      </c>
      <c r="I40" s="9" t="s">
        <v>11</v>
      </c>
      <c r="J40" s="8" t="str">
        <f>IF(AND(OR(E40="Supported",E40="Unsupported",E40="Unclear"),LEN(TRIM(F40))&gt;=10,OR(G40=1,G40=2,G40=3),OR(ISNUMBER(H40),AND(LEN(H40)&gt;=20,MID(H40,11,1)="T",OR(RIGHT(H40,1)="Z",AND(LEN(H40)&gt;=25,OR(MID(H40,20,1)="+",MID(H40,20,1)="-"),MID(H40,23,1)=":")))),I40='Start Here'!$B$10),"PASS","INCOMPLETE")</f>
        <v>PASS</v>
      </c>
    </row>
    <row r="41" ht="72" customHeight="1" spans="1:10">
      <c r="A41" s="9" t="s">
        <v>184</v>
      </c>
      <c r="B41" s="9" t="s">
        <v>62</v>
      </c>
      <c r="C41" s="9" t="s">
        <v>185</v>
      </c>
      <c r="D41" s="9" t="s">
        <v>65</v>
      </c>
      <c r="E41" s="10" t="s">
        <v>85</v>
      </c>
      <c r="F41" s="10" t="s">
        <v>186</v>
      </c>
      <c r="G41" s="11">
        <v>3</v>
      </c>
      <c r="H41" s="12">
        <v>46244.712349537</v>
      </c>
      <c r="I41" s="9" t="s">
        <v>11</v>
      </c>
      <c r="J41" s="8" t="str">
        <f>IF(AND(OR(E41="Supported",E41="Unsupported",E41="Unclear"),LEN(TRIM(F41))&gt;=10,OR(G41=1,G41=2,G41=3),OR(ISNUMBER(H41),AND(LEN(H41)&gt;=20,MID(H41,11,1)="T",OR(RIGHT(H41,1)="Z",AND(LEN(H41)&gt;=25,OR(MID(H41,20,1)="+",MID(H41,20,1)="-"),MID(H41,23,1)=":")))),I41='Start Here'!$B$10),"PASS","INCOMPLETE")</f>
        <v>PASS</v>
      </c>
    </row>
    <row r="42" ht="72" customHeight="1" spans="1:10">
      <c r="A42" s="9" t="s">
        <v>187</v>
      </c>
      <c r="B42" s="9" t="s">
        <v>66</v>
      </c>
      <c r="C42" s="9" t="s">
        <v>188</v>
      </c>
      <c r="D42" s="9" t="s">
        <v>68</v>
      </c>
      <c r="E42" s="10" t="s">
        <v>85</v>
      </c>
      <c r="F42" s="10" t="s">
        <v>189</v>
      </c>
      <c r="G42" s="11">
        <v>3</v>
      </c>
      <c r="H42" s="12">
        <v>46244.7126967593</v>
      </c>
      <c r="I42" s="9" t="s">
        <v>11</v>
      </c>
      <c r="J42" s="8" t="str">
        <f>IF(AND(OR(E42="Supported",E42="Unsupported",E42="Unclear"),LEN(TRIM(F42))&gt;=10,OR(G42=1,G42=2,G42=3),OR(ISNUMBER(H42),AND(LEN(H42)&gt;=20,MID(H42,11,1)="T",OR(RIGHT(H42,1)="Z",AND(LEN(H42)&gt;=25,OR(MID(H42,20,1)="+",MID(H42,20,1)="-"),MID(H42,23,1)=":")))),I42='Start Here'!$B$10),"PASS","INCOMPLETE")</f>
        <v>PASS</v>
      </c>
    </row>
    <row r="43" ht="72" customHeight="1" spans="1:10">
      <c r="A43" s="9" t="s">
        <v>190</v>
      </c>
      <c r="B43" s="9" t="s">
        <v>66</v>
      </c>
      <c r="C43" s="9" t="s">
        <v>156</v>
      </c>
      <c r="D43" s="9" t="s">
        <v>68</v>
      </c>
      <c r="E43" s="10" t="s">
        <v>85</v>
      </c>
      <c r="F43" s="10" t="s">
        <v>191</v>
      </c>
      <c r="G43" s="11">
        <v>3</v>
      </c>
      <c r="H43" s="12">
        <v>46244.7129166667</v>
      </c>
      <c r="I43" s="9" t="s">
        <v>11</v>
      </c>
      <c r="J43" s="8" t="str">
        <f>IF(AND(OR(E43="Supported",E43="Unsupported",E43="Unclear"),LEN(TRIM(F43))&gt;=10,OR(G43=1,G43=2,G43=3),OR(ISNUMBER(H43),AND(LEN(H43)&gt;=20,MID(H43,11,1)="T",OR(RIGHT(H43,1)="Z",AND(LEN(H43)&gt;=25,OR(MID(H43,20,1)="+",MID(H43,20,1)="-"),MID(H43,23,1)=":")))),I43='Start Here'!$B$10),"PASS","INCOMPLETE")</f>
        <v>PASS</v>
      </c>
    </row>
    <row r="44" ht="72" customHeight="1" spans="1:10">
      <c r="A44" s="9" t="s">
        <v>192</v>
      </c>
      <c r="B44" s="9" t="s">
        <v>66</v>
      </c>
      <c r="C44" s="9" t="s">
        <v>159</v>
      </c>
      <c r="D44" s="9" t="s">
        <v>68</v>
      </c>
      <c r="E44" s="10" t="s">
        <v>85</v>
      </c>
      <c r="F44" s="10" t="s">
        <v>160</v>
      </c>
      <c r="G44" s="11">
        <v>3</v>
      </c>
      <c r="H44" s="12">
        <v>46244.7132291667</v>
      </c>
      <c r="I44" s="9" t="s">
        <v>11</v>
      </c>
      <c r="J44" s="8" t="str">
        <f>IF(AND(OR(E44="Supported",E44="Unsupported",E44="Unclear"),LEN(TRIM(F44))&gt;=10,OR(G44=1,G44=2,G44=3),OR(ISNUMBER(H44),AND(LEN(H44)&gt;=20,MID(H44,11,1)="T",OR(RIGHT(H44,1)="Z",AND(LEN(H44)&gt;=25,OR(MID(H44,20,1)="+",MID(H44,20,1)="-"),MID(H44,23,1)=":")))),I44='Start Here'!$B$10),"PASS","INCOMPLETE")</f>
        <v>PASS</v>
      </c>
    </row>
    <row r="45" ht="72" customHeight="1" spans="1:10">
      <c r="A45" s="9" t="s">
        <v>193</v>
      </c>
      <c r="B45" s="9" t="s">
        <v>66</v>
      </c>
      <c r="C45" s="9" t="s">
        <v>194</v>
      </c>
      <c r="D45" s="9" t="s">
        <v>68</v>
      </c>
      <c r="E45" s="10" t="s">
        <v>85</v>
      </c>
      <c r="F45" s="10" t="s">
        <v>195</v>
      </c>
      <c r="G45" s="11">
        <v>3</v>
      </c>
      <c r="H45" s="12">
        <v>46244.7137847222</v>
      </c>
      <c r="I45" s="9" t="s">
        <v>11</v>
      </c>
      <c r="J45" s="8" t="str">
        <f>IF(AND(OR(E45="Supported",E45="Unsupported",E45="Unclear"),LEN(TRIM(F45))&gt;=10,OR(G45=1,G45=2,G45=3),OR(ISNUMBER(H45),AND(LEN(H45)&gt;=20,MID(H45,11,1)="T",OR(RIGHT(H45,1)="Z",AND(LEN(H45)&gt;=25,OR(MID(H45,20,1)="+",MID(H45,20,1)="-"),MID(H45,23,1)=":")))),I45='Start Here'!$B$10),"PASS","INCOMPLETE")</f>
        <v>PASS</v>
      </c>
    </row>
    <row r="46" ht="72" customHeight="1" spans="1:10">
      <c r="A46" s="9" t="s">
        <v>196</v>
      </c>
      <c r="B46" s="9" t="s">
        <v>66</v>
      </c>
      <c r="C46" s="9" t="s">
        <v>197</v>
      </c>
      <c r="D46" s="9" t="s">
        <v>68</v>
      </c>
      <c r="E46" s="10" t="s">
        <v>85</v>
      </c>
      <c r="F46" s="10" t="s">
        <v>198</v>
      </c>
      <c r="G46" s="11">
        <v>3</v>
      </c>
      <c r="H46" s="12">
        <v>46244.7141550926</v>
      </c>
      <c r="I46" s="9" t="s">
        <v>11</v>
      </c>
      <c r="J46" s="8" t="str">
        <f>IF(AND(OR(E46="Supported",E46="Unsupported",E46="Unclear"),LEN(TRIM(F46))&gt;=10,OR(G46=1,G46=2,G46=3),OR(ISNUMBER(H46),AND(LEN(H46)&gt;=20,MID(H46,11,1)="T",OR(RIGHT(H46,1)="Z",AND(LEN(H46)&gt;=25,OR(MID(H46,20,1)="+",MID(H46,20,1)="-"),MID(H46,23,1)=":")))),I46='Start Here'!$B$10),"PASS","INCOMPLETE")</f>
        <v>PASS</v>
      </c>
    </row>
    <row r="47" ht="72" customHeight="1" spans="1:10">
      <c r="A47" s="9" t="s">
        <v>199</v>
      </c>
      <c r="B47" s="9" t="s">
        <v>66</v>
      </c>
      <c r="C47" s="9" t="s">
        <v>200</v>
      </c>
      <c r="D47" s="9" t="s">
        <v>68</v>
      </c>
      <c r="E47" s="10" t="s">
        <v>85</v>
      </c>
      <c r="F47" s="10" t="s">
        <v>201</v>
      </c>
      <c r="G47" s="11">
        <v>3</v>
      </c>
      <c r="H47" s="12">
        <v>46244.7146759259</v>
      </c>
      <c r="I47" s="9" t="s">
        <v>11</v>
      </c>
      <c r="J47" s="8" t="str">
        <f>IF(AND(OR(E47="Supported",E47="Unsupported",E47="Unclear"),LEN(TRIM(F47))&gt;=10,OR(G47=1,G47=2,G47=3),OR(ISNUMBER(H47),AND(LEN(H47)&gt;=20,MID(H47,11,1)="T",OR(RIGHT(H47,1)="Z",AND(LEN(H47)&gt;=25,OR(MID(H47,20,1)="+",MID(H47,20,1)="-"),MID(H47,23,1)=":")))),I47='Start Here'!$B$10),"PASS","INCOMPLETE")</f>
        <v>PASS</v>
      </c>
    </row>
    <row r="48" ht="72" customHeight="1" spans="1:10">
      <c r="A48" s="9" t="s">
        <v>202</v>
      </c>
      <c r="B48" s="9" t="s">
        <v>66</v>
      </c>
      <c r="C48" s="9" t="s">
        <v>203</v>
      </c>
      <c r="D48" s="9" t="s">
        <v>68</v>
      </c>
      <c r="E48" s="10" t="s">
        <v>85</v>
      </c>
      <c r="F48" s="10" t="s">
        <v>204</v>
      </c>
      <c r="G48" s="11">
        <v>3</v>
      </c>
      <c r="H48" s="12">
        <v>46244.7150231482</v>
      </c>
      <c r="I48" s="9" t="s">
        <v>11</v>
      </c>
      <c r="J48" s="8" t="str">
        <f>IF(AND(OR(E48="Supported",E48="Unsupported",E48="Unclear"),LEN(TRIM(F48))&gt;=10,OR(G48=1,G48=2,G48=3),OR(ISNUMBER(H48),AND(LEN(H48)&gt;=20,MID(H48,11,1)="T",OR(RIGHT(H48,1)="Z",AND(LEN(H48)&gt;=25,OR(MID(H48,20,1)="+",MID(H48,20,1)="-"),MID(H48,23,1)=":")))),I48='Start Here'!$B$10),"PASS","INCOMPLETE")</f>
        <v>PASS</v>
      </c>
    </row>
    <row r="49" ht="72" customHeight="1" spans="1:10">
      <c r="A49" s="9" t="s">
        <v>205</v>
      </c>
      <c r="B49" s="9" t="s">
        <v>66</v>
      </c>
      <c r="C49" s="9" t="s">
        <v>206</v>
      </c>
      <c r="D49" s="9" t="s">
        <v>68</v>
      </c>
      <c r="E49" s="10" t="s">
        <v>85</v>
      </c>
      <c r="F49" s="10" t="s">
        <v>207</v>
      </c>
      <c r="G49" s="11">
        <v>3</v>
      </c>
      <c r="H49" s="12">
        <v>46244.7153819444</v>
      </c>
      <c r="I49" s="9" t="s">
        <v>11</v>
      </c>
      <c r="J49" s="8" t="str">
        <f>IF(AND(OR(E49="Supported",E49="Unsupported",E49="Unclear"),LEN(TRIM(F49))&gt;=10,OR(G49=1,G49=2,G49=3),OR(ISNUMBER(H49),AND(LEN(H49)&gt;=20,MID(H49,11,1)="T",OR(RIGHT(H49,1)="Z",AND(LEN(H49)&gt;=25,OR(MID(H49,20,1)="+",MID(H49,20,1)="-"),MID(H49,23,1)=":")))),I49='Start Here'!$B$10),"PASS","INCOMPLETE")</f>
        <v>PASS</v>
      </c>
    </row>
    <row r="50" ht="72" customHeight="1" spans="1:10">
      <c r="A50" s="9" t="s">
        <v>208</v>
      </c>
      <c r="B50" s="9" t="s">
        <v>69</v>
      </c>
      <c r="C50" s="9" t="s">
        <v>209</v>
      </c>
      <c r="D50" s="9" t="s">
        <v>72</v>
      </c>
      <c r="E50" s="10" t="s">
        <v>85</v>
      </c>
      <c r="F50" s="10" t="s">
        <v>210</v>
      </c>
      <c r="G50" s="11">
        <v>3</v>
      </c>
      <c r="H50" s="12">
        <v>46244.7157523148</v>
      </c>
      <c r="I50" s="9" t="s">
        <v>11</v>
      </c>
      <c r="J50" s="8" t="str">
        <f>IF(AND(OR(E50="Supported",E50="Unsupported",E50="Unclear"),LEN(TRIM(F50))&gt;=10,OR(G50=1,G50=2,G50=3),OR(ISNUMBER(H50),AND(LEN(H50)&gt;=20,MID(H50,11,1)="T",OR(RIGHT(H50,1)="Z",AND(LEN(H50)&gt;=25,OR(MID(H50,20,1)="+",MID(H50,20,1)="-"),MID(H50,23,1)=":")))),I50='Start Here'!$B$10),"PASS","INCOMPLETE")</f>
        <v>PASS</v>
      </c>
    </row>
    <row r="51" ht="72" customHeight="1" spans="1:10">
      <c r="A51" s="9" t="s">
        <v>211</v>
      </c>
      <c r="B51" s="9" t="s">
        <v>69</v>
      </c>
      <c r="C51" s="9" t="s">
        <v>212</v>
      </c>
      <c r="D51" s="9" t="s">
        <v>72</v>
      </c>
      <c r="E51" s="10" t="s">
        <v>85</v>
      </c>
      <c r="F51" s="10" t="s">
        <v>213</v>
      </c>
      <c r="G51" s="11">
        <v>3</v>
      </c>
      <c r="H51" s="12">
        <v>46244.7161111111</v>
      </c>
      <c r="I51" s="9" t="s">
        <v>11</v>
      </c>
      <c r="J51" s="8" t="str">
        <f>IF(AND(OR(E51="Supported",E51="Unsupported",E51="Unclear"),LEN(TRIM(F51))&gt;=10,OR(G51=1,G51=2,G51=3),OR(ISNUMBER(H51),AND(LEN(H51)&gt;=20,MID(H51,11,1)="T",OR(RIGHT(H51,1)="Z",AND(LEN(H51)&gt;=25,OR(MID(H51,20,1)="+",MID(H51,20,1)="-"),MID(H51,23,1)=":")))),I51='Start Here'!$B$10),"PASS","INCOMPLETE")</f>
        <v>PASS</v>
      </c>
    </row>
    <row r="52" ht="72" customHeight="1" spans="1:10">
      <c r="A52" s="9" t="s">
        <v>214</v>
      </c>
      <c r="B52" s="9" t="s">
        <v>69</v>
      </c>
      <c r="C52" s="9" t="s">
        <v>215</v>
      </c>
      <c r="D52" s="9" t="s">
        <v>72</v>
      </c>
      <c r="E52" s="10" t="s">
        <v>85</v>
      </c>
      <c r="F52" s="10" t="s">
        <v>216</v>
      </c>
      <c r="G52" s="11">
        <v>3</v>
      </c>
      <c r="H52" s="12">
        <v>46244.7165046296</v>
      </c>
      <c r="I52" s="9" t="s">
        <v>11</v>
      </c>
      <c r="J52" s="8" t="str">
        <f>IF(AND(OR(E52="Supported",E52="Unsupported",E52="Unclear"),LEN(TRIM(F52))&gt;=10,OR(G52=1,G52=2,G52=3),OR(ISNUMBER(H52),AND(LEN(H52)&gt;=20,MID(H52,11,1)="T",OR(RIGHT(H52,1)="Z",AND(LEN(H52)&gt;=25,OR(MID(H52,20,1)="+",MID(H52,20,1)="-"),MID(H52,23,1)=":")))),I52='Start Here'!$B$10),"PASS","INCOMPLETE")</f>
        <v>PASS</v>
      </c>
    </row>
  </sheetData>
  <mergeCells count="2">
    <mergeCell ref="A4:J4"/>
    <mergeCell ref="A1:J2"/>
  </mergeCells>
  <conditionalFormatting sqref="J7:J52">
    <cfRule type="containsText" dxfId="0" priority="1" operator="between" text="PASS">
      <formula>NOT(ISERROR(SEARCH("PASS",J7)))</formula>
    </cfRule>
    <cfRule type="containsText" dxfId="1" priority="2" operator="between" text="INCOMPLETE">
      <formula>NOT(ISERROR(SEARCH("INCOMPLETE",J7)))</formula>
    </cfRule>
  </conditionalFormatting>
  <dataValidations count="2">
    <dataValidation type="list" sqref="E7:E52">
      <formula1>"Supported,Unsupported,Unclear"</formula1>
    </dataValidation>
    <dataValidation type="whole" operator="between" sqref="G7:G52">
      <formula1>1</formula1>
      <formula2>3</formula2>
    </dataValidation>
  </dataValidation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3"/>
  <sheetViews>
    <sheetView showGridLines="0" tabSelected="1" topLeftCell="A9" workbookViewId="0">
      <selection activeCell="A1" sqref="A1:E2"/>
    </sheetView>
  </sheetViews>
  <sheetFormatPr defaultColWidth="9" defaultRowHeight="13.8" outlineLevelCol="4"/>
  <cols>
    <col min="1" max="1" width="28.8916666666667" customWidth="1"/>
    <col min="2" max="2" width="18.8916666666667" customWidth="1"/>
    <col min="3" max="3" width="17.7833333333333" customWidth="1"/>
    <col min="4" max="4" width="13.8916666666667" customWidth="1"/>
    <col min="5" max="5" width="68.8916666666667" customWidth="1"/>
  </cols>
  <sheetData>
    <row r="1" spans="1:5">
      <c r="A1" s="1" t="s">
        <v>217</v>
      </c>
      <c r="B1" s="1"/>
      <c r="C1" s="1"/>
      <c r="D1" s="1"/>
      <c r="E1" s="1"/>
    </row>
    <row r="2" spans="1:5">
      <c r="A2" s="1"/>
      <c r="B2" s="1"/>
      <c r="C2" s="1"/>
      <c r="D2" s="1"/>
      <c r="E2" s="1"/>
    </row>
    <row r="4" spans="1:5">
      <c r="A4" s="2" t="s">
        <v>218</v>
      </c>
      <c r="B4" s="3"/>
      <c r="C4" s="3"/>
      <c r="D4" s="3"/>
      <c r="E4" s="4"/>
    </row>
    <row r="6" spans="1:5">
      <c r="A6" s="5" t="s">
        <v>219</v>
      </c>
      <c r="B6" s="5" t="s">
        <v>220</v>
      </c>
      <c r="C6" s="5" t="s">
        <v>221</v>
      </c>
      <c r="D6" s="5" t="s">
        <v>222</v>
      </c>
      <c r="E6" s="5" t="s">
        <v>223</v>
      </c>
    </row>
    <row r="7" ht="42" customHeight="1" spans="1:5">
      <c r="A7" s="6" t="s">
        <v>224</v>
      </c>
      <c r="B7" s="7">
        <v>46</v>
      </c>
      <c r="C7" s="7">
        <f>COUNTA('UCR Coding'!$A$7:$A$52)</f>
        <v>46</v>
      </c>
      <c r="D7" s="8" t="str">
        <f>IF(C7=B7,"PASS","INCOMPLETE")</f>
        <v>PASS</v>
      </c>
      <c r="E7" s="7" t="s">
        <v>225</v>
      </c>
    </row>
    <row r="8" ht="42" customHeight="1" spans="1:5">
      <c r="A8" s="6" t="s">
        <v>226</v>
      </c>
      <c r="B8" s="7">
        <v>46</v>
      </c>
      <c r="C8" s="7">
        <f>COUNTIF('UCR Coding'!$J$7:$J$52,"PASS")</f>
        <v>46</v>
      </c>
      <c r="D8" s="8" t="str">
        <f>IF(C8=B8,"PASS","INCOMPLETE")</f>
        <v>PASS</v>
      </c>
      <c r="E8" s="7" t="s">
        <v>227</v>
      </c>
    </row>
    <row r="9" ht="42" customHeight="1" spans="1:5">
      <c r="A9" s="6" t="s">
        <v>228</v>
      </c>
      <c r="B9" s="7">
        <v>9</v>
      </c>
      <c r="C9" s="7">
        <f>COUNTA(A15:A23)</f>
        <v>9</v>
      </c>
      <c r="D9" s="8" t="str">
        <f>IF(C9=B9,"PASS","INCOMPLETE")</f>
        <v>PASS</v>
      </c>
      <c r="E9" s="7" t="s">
        <v>229</v>
      </c>
    </row>
    <row r="10" ht="42" customHeight="1" spans="1:5">
      <c r="A10" s="6" t="s">
        <v>230</v>
      </c>
      <c r="B10" s="7" t="s">
        <v>231</v>
      </c>
      <c r="C10" s="7" t="str">
        <f>'Start Here'!$B$21</f>
        <v>PASS</v>
      </c>
      <c r="D10" s="8" t="str">
        <f>C10</f>
        <v>PASS</v>
      </c>
      <c r="E10" s="7" t="s">
        <v>232</v>
      </c>
    </row>
    <row r="11" ht="42" customHeight="1" spans="1:5">
      <c r="A11" s="6" t="s">
        <v>233</v>
      </c>
      <c r="B11" s="7" t="s">
        <v>231</v>
      </c>
      <c r="C11" s="7" t="str">
        <f>IF(AND(C7=46,C8=46,C9=9,C10="PASS"),"PASS","INCOMPLETE")</f>
        <v>PASS</v>
      </c>
      <c r="D11" s="8" t="str">
        <f>C11</f>
        <v>PASS</v>
      </c>
      <c r="E11" s="7" t="s">
        <v>234</v>
      </c>
    </row>
    <row r="14" ht="27.6" spans="1:5">
      <c r="A14" s="5" t="s">
        <v>235</v>
      </c>
      <c r="B14" s="5" t="s">
        <v>236</v>
      </c>
      <c r="C14" s="5" t="s">
        <v>237</v>
      </c>
      <c r="D14" s="5" t="s">
        <v>238</v>
      </c>
      <c r="E14" s="5" t="s">
        <v>239</v>
      </c>
    </row>
    <row r="15" ht="33" customHeight="1" spans="1:5">
      <c r="A15" s="7" t="s">
        <v>41</v>
      </c>
      <c r="B15" s="7">
        <v>7</v>
      </c>
      <c r="C15" s="7">
        <f>COUNTIFS('UCR Coding'!$B$7:$B$52,A15,'UCR Coding'!$J$7:$J$52,"PASS")</f>
        <v>7</v>
      </c>
      <c r="D15" s="8" t="str">
        <f t="shared" ref="D15:D23" si="0">IF(C15=B15,"PASS","INCOMPLETE")</f>
        <v>PASS</v>
      </c>
      <c r="E15" s="7" t="s">
        <v>240</v>
      </c>
    </row>
    <row r="16" ht="33" customHeight="1" spans="1:5">
      <c r="A16" s="7" t="s">
        <v>45</v>
      </c>
      <c r="B16" s="7">
        <v>2</v>
      </c>
      <c r="C16" s="7">
        <f>COUNTIFS('UCR Coding'!$B$7:$B$52,A16,'UCR Coding'!$J$7:$J$52,"PASS")</f>
        <v>2</v>
      </c>
      <c r="D16" s="8" t="str">
        <f t="shared" si="0"/>
        <v>PASS</v>
      </c>
      <c r="E16" s="7" t="s">
        <v>240</v>
      </c>
    </row>
    <row r="17" ht="33" customHeight="1" spans="1:5">
      <c r="A17" s="7" t="s">
        <v>48</v>
      </c>
      <c r="B17" s="7">
        <v>5</v>
      </c>
      <c r="C17" s="7">
        <f>COUNTIFS('UCR Coding'!$B$7:$B$52,A17,'UCR Coding'!$J$7:$J$52,"PASS")</f>
        <v>5</v>
      </c>
      <c r="D17" s="8" t="str">
        <f t="shared" si="0"/>
        <v>PASS</v>
      </c>
      <c r="E17" s="7" t="s">
        <v>240</v>
      </c>
    </row>
    <row r="18" ht="33" customHeight="1" spans="1:5">
      <c r="A18" s="7" t="s">
        <v>51</v>
      </c>
      <c r="B18" s="7">
        <v>4</v>
      </c>
      <c r="C18" s="7">
        <f>COUNTIFS('UCR Coding'!$B$7:$B$52,A18,'UCR Coding'!$J$7:$J$52,"PASS")</f>
        <v>4</v>
      </c>
      <c r="D18" s="8" t="str">
        <f t="shared" si="0"/>
        <v>PASS</v>
      </c>
      <c r="E18" s="7" t="s">
        <v>240</v>
      </c>
    </row>
    <row r="19" ht="33" customHeight="1" spans="1:5">
      <c r="A19" s="7" t="s">
        <v>55</v>
      </c>
      <c r="B19" s="7">
        <v>6</v>
      </c>
      <c r="C19" s="7">
        <f>COUNTIFS('UCR Coding'!$B$7:$B$52,A19,'UCR Coding'!$J$7:$J$52,"PASS")</f>
        <v>6</v>
      </c>
      <c r="D19" s="8" t="str">
        <f t="shared" si="0"/>
        <v>PASS</v>
      </c>
      <c r="E19" s="7" t="s">
        <v>240</v>
      </c>
    </row>
    <row r="20" ht="33" customHeight="1" spans="1:5">
      <c r="A20" s="7" t="s">
        <v>59</v>
      </c>
      <c r="B20" s="7">
        <v>5</v>
      </c>
      <c r="C20" s="7">
        <f>COUNTIFS('UCR Coding'!$B$7:$B$52,A20,'UCR Coding'!$J$7:$J$52,"PASS")</f>
        <v>5</v>
      </c>
      <c r="D20" s="8" t="str">
        <f t="shared" si="0"/>
        <v>PASS</v>
      </c>
      <c r="E20" s="7" t="s">
        <v>240</v>
      </c>
    </row>
    <row r="21" ht="33" customHeight="1" spans="1:5">
      <c r="A21" s="7" t="s">
        <v>62</v>
      </c>
      <c r="B21" s="7">
        <v>6</v>
      </c>
      <c r="C21" s="7">
        <f>COUNTIFS('UCR Coding'!$B$7:$B$52,A21,'UCR Coding'!$J$7:$J$52,"PASS")</f>
        <v>6</v>
      </c>
      <c r="D21" s="8" t="str">
        <f t="shared" si="0"/>
        <v>PASS</v>
      </c>
      <c r="E21" s="7" t="s">
        <v>240</v>
      </c>
    </row>
    <row r="22" ht="33" customHeight="1" spans="1:5">
      <c r="A22" s="7" t="s">
        <v>66</v>
      </c>
      <c r="B22" s="7">
        <v>8</v>
      </c>
      <c r="C22" s="7">
        <f>COUNTIFS('UCR Coding'!$B$7:$B$52,A22,'UCR Coding'!$J$7:$J$52,"PASS")</f>
        <v>8</v>
      </c>
      <c r="D22" s="8" t="str">
        <f t="shared" si="0"/>
        <v>PASS</v>
      </c>
      <c r="E22" s="7" t="s">
        <v>240</v>
      </c>
    </row>
    <row r="23" ht="33" customHeight="1" spans="1:5">
      <c r="A23" s="7" t="s">
        <v>69</v>
      </c>
      <c r="B23" s="7">
        <v>3</v>
      </c>
      <c r="C23" s="7">
        <f>COUNTIFS('UCR Coding'!$B$7:$B$52,A23,'UCR Coding'!$J$7:$J$52,"PASS")</f>
        <v>3</v>
      </c>
      <c r="D23" s="8" t="str">
        <f t="shared" si="0"/>
        <v>PASS</v>
      </c>
      <c r="E23" s="7" t="s">
        <v>240</v>
      </c>
    </row>
  </sheetData>
  <mergeCells count="2">
    <mergeCell ref="A4:E4"/>
    <mergeCell ref="A1:E2"/>
  </mergeCells>
  <conditionalFormatting sqref="D7:D11">
    <cfRule type="containsText" dxfId="0" priority="1" operator="between" text="PASS">
      <formula>NOT(ISERROR(SEARCH("PASS",D7)))</formula>
    </cfRule>
    <cfRule type="containsText" dxfId="1" priority="2" operator="between" text="INCOMPLETE">
      <formula>NOT(ISERROR(SEARCH("INCOMPLETE",D7)))</formula>
    </cfRule>
  </conditionalFormatting>
  <conditionalFormatting sqref="D15:D23">
    <cfRule type="containsText" dxfId="0" priority="3" operator="between" text="PASS">
      <formula>NOT(ISERROR(SEARCH("PASS",D15)))</formula>
    </cfRule>
    <cfRule type="containsText" dxfId="1" priority="4" operator="between" text="INCOMPLETE">
      <formula>NOT(ISERROR(SEARCH("INCOMPLETE",D15)))</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4</vt:i4>
      </vt:variant>
    </vt:vector>
  </HeadingPairs>
  <TitlesOfParts>
    <vt:vector size="4" baseType="lpstr">
      <vt:lpstr>Start Here</vt:lpstr>
      <vt:lpstr>Materials</vt:lpstr>
      <vt:lpstr>UCR Coding</vt:lpstr>
      <vt:lpstr>QA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Edson</cp:lastModifiedBy>
  <dcterms:created xsi:type="dcterms:W3CDTF">2026-08-10T09:20:59Z</dcterms:created>
  <dcterms:modified xsi:type="dcterms:W3CDTF">2026-08-10T09:21:17Z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196C7E3EA4534C2CB78BAC7FFFBB6B62_12</vt:lpwstr>
  </property>
  <property fmtid="{D5CDD505-2E9C-101B-9397-08002B2CF9AE}" pid="3" name="KSOProductBuildVer">
    <vt:lpwstr>2052-12.1.0.28043</vt:lpwstr>
  </property>
  <property fmtid="{D5CDD505-2E9C-101B-9397-08002B2CF9AE}" pid="4" name="CalculationRule">
    <vt:i4>0</vt:i4>
  </property>
</Properties>
</file>