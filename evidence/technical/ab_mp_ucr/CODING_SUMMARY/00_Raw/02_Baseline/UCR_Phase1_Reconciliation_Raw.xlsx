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9868" windowHeight="12780" activeTab="6"/>
  </bookViews>
  <sheets>
    <sheet name="Start Here" sheetId="1" r:id="rId1"/>
    <sheet name="Return Audit" sheetId="2" r:id="rId2"/>
    <sheet name="Materials" sheetId="3" r:id="rId3"/>
    <sheet name="Boundary Review" sheetId="4" r:id="rId4"/>
    <sheet name="Final Inventory" sheetId="5" r:id="rId5"/>
    <sheet name="Item Confirmation" sheetId="6" r:id="rId6"/>
    <sheet name="Joint Sign-off" sheetId="7" r:id="rId7"/>
    <sheet name="QA Summar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<sst xmlns="http://schemas.openxmlformats.org/spreadsheetml/2006/main" count="593" uniqueCount="230">
  <si>
    <t>PurrStone v10.2 — Phase 1 UCR Reconciliation</t>
  </si>
  <si>
    <t>Use this workbook only after both independent Phase 1 returns are frozen. Both coders may now discuss proposition boundaries, but must remain blind to condition, pair, scenario and run identities.</t>
  </si>
  <si>
    <t>Reconciliation build ID</t>
  </si>
  <si>
    <t>purrstone-v10.2-ucr-reconciliation-r1-20260810</t>
  </si>
  <si>
    <t>Material-set SHA-256</t>
  </si>
  <si>
    <t>67afa8c732e79b430031f6e40678989fd5efe1fd65c0fb26d6527be54b050901</t>
  </si>
  <si>
    <t>Coder01 return SHA-256</t>
  </si>
  <si>
    <t>675c4f4fc1a4d178acfb95c9b07bbf128c9c956e1bd9414c148dbfa5005f1cc7</t>
  </si>
  <si>
    <t>Coder02 return SHA-256</t>
  </si>
  <si>
    <t>679e6513e5e7baab98eacbb2569980c4a2631ad854de9db114483dd19d33d10c</t>
  </si>
  <si>
    <t>Independent returns</t>
  </si>
  <si>
    <t>Frozen; do not edit or overwrite</t>
  </si>
  <si>
    <t>Current stage</t>
  </si>
  <si>
    <t>Joint inventory reconciliation before Phase 2</t>
  </si>
  <si>
    <t>1 — What has already passed</t>
  </si>
  <si>
    <t>Both files contain the same nine blind materials, complete MP and UCR entries, complete declarations and formula QA = PASS. MP agreement is 9/9 preserved. Because every MP label is identical, Cohen's kappa is not estimable; report raw agreement instead.</t>
  </si>
  <si>
    <t>2 — What needs reconciliation</t>
  </si>
  <si>
    <t>Coder01 produced 49 propositions and Coder02 produced 46. Seven items have equivalent proposition boundaries. MD-004 and MD-005 contain genuine split/merge differences around causal relations.</t>
  </si>
  <si>
    <t>3 — How to decide</t>
  </si>
  <si>
    <t>Retain the smallest independently supportable proposition without deleting a stated relationship. A causal statement may remain one atomic relational proposition when splitting it would remove the 'because' relation.</t>
  </si>
  <si>
    <t>4 — What to complete</t>
  </si>
  <si>
    <t>Review Boundary Review, edit the yellow cells in Final Inventory if needed, confirm each item in Item Confirmation, then complete Joint Sign-off. Do not enter supported/unsupported labels here.</t>
  </si>
  <si>
    <t>5 — Identity</t>
  </si>
  <si>
    <t>Use real names/signatures in the private original, or use coded IDs only if the researcher retains a private identity key. The public evidence package may contain a redacted copy.</t>
  </si>
  <si>
    <t>Independent Phase 1 Return Audit</t>
  </si>
  <si>
    <t>This sheet records pre-reconciliation results. Consensus must not be presented as independent agreement.</t>
  </si>
  <si>
    <t>Check</t>
  </si>
  <si>
    <t>Coder01</t>
  </si>
  <si>
    <t>Coder02</t>
  </si>
  <si>
    <t>Combined result</t>
  </si>
  <si>
    <t>Status</t>
  </si>
  <si>
    <t>Interpretation</t>
  </si>
  <si>
    <t>Material set SHA-256</t>
  </si>
  <si>
    <t>Same</t>
  </si>
  <si>
    <t>PASS</t>
  </si>
  <si>
    <t>Both coders received the same nine blind bundles.</t>
  </si>
  <si>
    <t>Workbook formula QA</t>
  </si>
  <si>
    <t>Both PASS</t>
  </si>
  <si>
    <t>All required Phase 1 fields and item checks are complete.</t>
  </si>
  <si>
    <t>Independent declaration</t>
  </si>
  <si>
    <t>Yes</t>
  </si>
  <si>
    <t>Both Yes</t>
  </si>
  <si>
    <t>Both declared independent work, no unblinding and no automated assistance.</t>
  </si>
  <si>
    <t>Coding duration</t>
  </si>
  <si>
    <t>01:10:51</t>
  </si>
  <si>
    <t>01:08:38</t>
  </si>
  <si>
    <t>Plausible</t>
  </si>
  <si>
    <t>Coder01: 13:18:44–14:29:35; Coder02: 14:34:17–15:42:55 (+08:00).</t>
  </si>
  <si>
    <t>MP completed items</t>
  </si>
  <si>
    <t>18/18 complete</t>
  </si>
  <si>
    <t>All nine items were independently assessed by both coders.</t>
  </si>
  <si>
    <t>MP preserved</t>
  </si>
  <si>
    <t>9/9 raw agreement</t>
  </si>
  <si>
    <t>All materials are verbatim-equivalent draft/source bundles.</t>
  </si>
  <si>
    <t>MP confidence</t>
  </si>
  <si>
    <t>3 for 9/9</t>
  </si>
  <si>
    <t>High confidence is coherent with exact draft/source correspondence.</t>
  </si>
  <si>
    <t>MP Cohen's κ</t>
  </si>
  <si>
    <t>N/A</t>
  </si>
  <si>
    <t>Not estimable</t>
  </si>
  <si>
    <t>INFO</t>
  </si>
  <si>
    <t>All judgments occupy one category; do not report κ = 1.</t>
  </si>
  <si>
    <t>UCR propositions</t>
  </si>
  <si>
    <t>95 independent entries</t>
  </si>
  <si>
    <t>Counts differ naturally; neither return was edited.</t>
  </si>
  <si>
    <t>Equivalent-boundary items</t>
  </si>
  <si>
    <t>7/9</t>
  </si>
  <si>
    <t>Wording differs but boundaries correspond for MD-001/002/003/006/007/008/009.</t>
  </si>
  <si>
    <t>Split/merge items</t>
  </si>
  <si>
    <t>MD-004, MD-005</t>
  </si>
  <si>
    <t>RECONCILE</t>
  </si>
  <si>
    <t>Causal claims were split by Coder01 and retained as relations by Coder02.</t>
  </si>
  <si>
    <t>Identity fields</t>
  </si>
  <si>
    <t>Coded ID</t>
  </si>
  <si>
    <t>Private key required</t>
  </si>
  <si>
    <t>CHECK</t>
  </si>
  <si>
    <t>Full name/signature cells contain coder IDs; retain a private identity key or obtain named signatures.</t>
  </si>
  <si>
    <t>Blind Materials — unchanged from Phase 1</t>
  </si>
  <si>
    <t>Use only these displayed texts when confirming the common proposition inventory. Identity keys remain withheld.</t>
  </si>
  <si>
    <t>Blind item ID</t>
  </si>
  <si>
    <t>Topic</t>
  </si>
  <si>
    <t>Generated draft</t>
  </si>
  <si>
    <t>Participant source</t>
  </si>
  <si>
    <t>MD-001</t>
  </si>
  <si>
    <t>Experience</t>
  </si>
  <si>
    <t>Typed response extract: “It happened on a train.” “The train was packed and it stopped suddenly with a loud screeching noise. I could not move away from the crowd, and I felt trapped and overwhelmed.”</t>
  </si>
  <si>
    <t>SRC-01: It happened on a train.
SRC-02: The train was packed and it stopped suddenly with a loud screeching noise. I could not move away from the crowd, and I felt trapped and overwhelmed.</t>
  </si>
  <si>
    <t>MD-002</t>
  </si>
  <si>
    <t>Typed response extract: “It happened on a train.” “I do not remember anything else about it.”</t>
  </si>
  <si>
    <t>SRC-01: It happened on a train.
SRC-02: I do not remember anything else about it.</t>
  </si>
  <si>
    <t>MD-003</t>
  </si>
  <si>
    <t>Typed response extract: “A recent example was a crowded train that stopped between stations while alarms sounded. The noise and lack of space made me feel trapped and overwhelmed.”</t>
  </si>
  <si>
    <t>SRC-01: A recent example was a crowded train that stopped between stations while alarms sounded. The noise and lack of space made me feel trapped and overwhelmed.</t>
  </si>
  <si>
    <t>MD-004</t>
  </si>
  <si>
    <t>Support concept reaction</t>
  </si>
  <si>
    <t>Typed response extract: “The squeeze interaction seems useful because it would give my hands a focus, and gentle haptics might help me pace my breathing. I would avoid scent because it can be another trigger, and I would want every feature to be optional.”</t>
  </si>
  <si>
    <t>SRC-01: The squeeze interaction seems useful because it would give my hands a focus, and gentle haptics might help me pace my breathing. I would avoid scent because it can be another trigger, and I would want every feature to be optional.</t>
  </si>
  <si>
    <t>MD-005</t>
  </si>
  <si>
    <t>Coping &amp; support</t>
  </si>
  <si>
    <t>Typed response extract: “I covered my ears, focused on slow breathing, and left at the next stop. A quieter carriage or a warning before the alarm would have helped. The repeated announcements did not help because they added more noise.”</t>
  </si>
  <si>
    <t>SRC-01: I covered my ears, focused on slow breathing, and left at the next stop. A quieter carriage or a warning before the alarm would have helped. The repeated announcements did not help because they added more noise.</t>
  </si>
  <si>
    <t>MD-006</t>
  </si>
  <si>
    <t>Typed response extract: “On a crowded train, the carriage stopped between stations while alarms sounded. The noise and crowding made me feel trapped and overwhelmed.”</t>
  </si>
  <si>
    <t>SRC-01: On a crowded train, the carriage stopped between stations while alarms sounded. The noise and crowding made me feel trapped and overwhelmed.</t>
  </si>
  <si>
    <t>MD-007</t>
  </si>
  <si>
    <t>Triggers &amp; signs</t>
  </si>
  <si>
    <t>Typed response extract: “The sharp braking noise, flashing carriage lights, and crowding were the strongest triggers. My shoulders tightened, my heart raced, and I felt panicked.”</t>
  </si>
  <si>
    <t>SRC-01: The sharp braking noise, flashing carriage lights, and crowding were the strongest triggers. My shoulders tightened, my heart raced, and I felt panicked.</t>
  </si>
  <si>
    <t>MD-008</t>
  </si>
  <si>
    <t>Typed response extract: “Last month on a crowded train, the carriage stopped between stations while alarms and announcements were sounding. People were pressed close to me, and the combined noise and crowding made me feel trapped and overwhelmed.”</t>
  </si>
  <si>
    <t>SRC-01: Last month on a crowded train, the carriage stopped between stations while alarms and announcements were sounding. People were pressed close to me, and the combined noise and crowding made me feel trapped and overwhelmed.</t>
  </si>
  <si>
    <t>MD-009</t>
  </si>
  <si>
    <t>Public-use acceptability</t>
  </si>
  <si>
    <t>Typed response extract: “I might use it while commuting if it looked discreet and made no sound. I would be embarrassed by obvious lights, and scent would be a concern for people nearby in a shared space.”</t>
  </si>
  <si>
    <t>SRC-01: I might use it while commuting if it looked discreet and made no sound. I would be embarrassed by obvious lights, and scent would be a concern for people nearby in a shared space.</t>
  </si>
  <si>
    <t>Boundary Review — two split/merge decisions</t>
  </si>
  <si>
    <t>Only proposition boundaries are reconciled here. Support labels remain prohibited until Phase 2.</t>
  </si>
  <si>
    <t>Blind item</t>
  </si>
  <si>
    <t>Coder01 independent inventory</t>
  </si>
  <si>
    <t>Coder02 independent inventory</t>
  </si>
  <si>
    <t>Provisional common inventory</t>
  </si>
  <si>
    <t>Method note</t>
  </si>
  <si>
    <t>1. The squeeze interaction seemed useful.
2. The squeeze interaction would give the participant's hands a focus.
3. Gentle haptics might help the participant pace their breathing.
4. The participant would avoid scent.
5. Scent could be another trigger for the participant.
6. The participant wanted every feature to be optional.</t>
  </si>
  <si>
    <t>1. The squeeze interaction was seen as useful because it would give the participant's hands something to focus on.
2. Gentle haptics might help with pacing the participant's breathing.
3. The participant would avoid scent because it could act as another trigger.
4. The participant wanted all features to remain optional.</t>
  </si>
  <si>
    <t>1. The squeeze interaction seemed useful because it would give the participant's hands a focus.
2. Gentle haptics might help the participant pace their breathing.
3. The participant would avoid scent because it could be another trigger.
4. The participant wanted every feature to be optional.</t>
  </si>
  <si>
    <t>Provisional choice retains each explicit causal relation as one independently checkable relational proposition. Both coders must confirm or edit it jointly.</t>
  </si>
  <si>
    <t>1. The participant covered their ears.
2. The participant focused on slow breathing.
3. The participant left at the next stop.
4. A quieter carriage would have helped the participant.
5. A warning before the alarm would have helped the participant.
6. The repeated announcements did not help.
7. The repeated announcements added more noise.</t>
  </si>
  <si>
    <t>1. The participant covered their ears.
2. The participant used slow breathing.
3. The participant got off at the next stop.
4. A quieter carriage would have been helpful.
5. Advance warning before the alarm would have been helpful.
6. The repeated announcements were unhelpful because they added further noise.</t>
  </si>
  <si>
    <t>1. The participant covered their ears.
2. The participant focused on slow breathing.
3. The participant left at the next stop.
4. A quieter carriage would have helped the participant.
5. A warning before the alarm would have helped the participant.
6. The repeated announcements did not help because they added more noise.</t>
  </si>
  <si>
    <t>Agreed Final Proposition Inventory</t>
  </si>
  <si>
    <t>Yellow proposition cells contain a provisional 46-proposition inventory. Both coders must jointly edit or accept it. Keep indices consecutive within each item and leave unused reserve rows blank.</t>
  </si>
  <si>
    <t>Proposition index</t>
  </si>
  <si>
    <t>Agreed atomic proposition</t>
  </si>
  <si>
    <t>Slot QA</t>
  </si>
  <si>
    <t>Proposal basis</t>
  </si>
  <si>
    <t>The experience happened on a train.</t>
  </si>
  <si>
    <t>Equivalent independent boundaries; wording standardized</t>
  </si>
  <si>
    <t>The train was packed.</t>
  </si>
  <si>
    <t>The train stopped suddenly.</t>
  </si>
  <si>
    <t>A loud screeching noise accompanied the stop.</t>
  </si>
  <si>
    <t>The participant could not move away from the crowd.</t>
  </si>
  <si>
    <t>The participant felt trapped.</t>
  </si>
  <si>
    <t>The participant felt overwhelmed.</t>
  </si>
  <si>
    <t/>
  </si>
  <si>
    <t>The participant did not remember anything else about it.</t>
  </si>
  <si>
    <t>The example occurred on a crowded train.</t>
  </si>
  <si>
    <t>The train stopped between stations.</t>
  </si>
  <si>
    <t>Alarms sounded during the event.</t>
  </si>
  <si>
    <t>Noise and lack of space made the participant feel trapped.</t>
  </si>
  <si>
    <t>Noise and lack of space made the participant feel overwhelmed.</t>
  </si>
  <si>
    <t>The squeeze interaction seemed useful because it would give the participant's hands a focus.</t>
  </si>
  <si>
    <t>Causal-relation reconciliation</t>
  </si>
  <si>
    <t>Gentle haptics might help the participant pace their breathing.</t>
  </si>
  <si>
    <t>The participant would avoid scent because it could be another trigger.</t>
  </si>
  <si>
    <t>The participant wanted every feature to be optional.</t>
  </si>
  <si>
    <t>The participant covered their ears.</t>
  </si>
  <si>
    <t>The participant focused on slow breathing.</t>
  </si>
  <si>
    <t>The participant left at the next stop.</t>
  </si>
  <si>
    <t>A quieter carriage would have helped the participant.</t>
  </si>
  <si>
    <t>A warning before the alarm would have helped the participant.</t>
  </si>
  <si>
    <t>The repeated announcements did not help because they added more noise.</t>
  </si>
  <si>
    <t>The experience occurred on a crowded train.</t>
  </si>
  <si>
    <t>The carriage stopped between stations.</t>
  </si>
  <si>
    <t>Noise and crowding made the participant feel trapped.</t>
  </si>
  <si>
    <t>Noise and crowding made the participant feel overwhelmed.</t>
  </si>
  <si>
    <t>Sharp braking noise was one of the participant's strongest triggers.</t>
  </si>
  <si>
    <t>Flashing carriage lights were one of the participant's strongest triggers.</t>
  </si>
  <si>
    <t>Crowding was one of the participant's strongest triggers.</t>
  </si>
  <si>
    <t>The participant's shoulders tightened.</t>
  </si>
  <si>
    <t>The participant's heart raced.</t>
  </si>
  <si>
    <t>The participant felt panicked.</t>
  </si>
  <si>
    <t>The experience happened last month.</t>
  </si>
  <si>
    <t>Alarms were sounding during the event.</t>
  </si>
  <si>
    <t>Announcements were sounding during the event.</t>
  </si>
  <si>
    <t>People were pressed close to the participant.</t>
  </si>
  <si>
    <t>The combined noise and crowding made the participant feel trapped.</t>
  </si>
  <si>
    <t>The combined noise and crowding made the participant feel overwhelmed.</t>
  </si>
  <si>
    <t>The participant might use the item while commuting if it looked discreet and made no sound.</t>
  </si>
  <si>
    <t>Obvious lights would embarrass the participant.</t>
  </si>
  <si>
    <t>Scent would be a concern for people nearby in a shared space.</t>
  </si>
  <si>
    <t>Item-level Joint Confirmation</t>
  </si>
  <si>
    <t>After reviewing and, if necessary, editing Final Inventory, both coders confirm each item. Add a joint note for any change from the provisional inventory.</t>
  </si>
  <si>
    <t>Coder01 Phase 1 count</t>
  </si>
  <si>
    <t>Coder02 Phase 1 count</t>
  </si>
  <si>
    <t>Provisional count</t>
  </si>
  <si>
    <t>Boundary status</t>
  </si>
  <si>
    <t>Coder01 confirms?</t>
  </si>
  <si>
    <t>Coder02 confirms?</t>
  </si>
  <si>
    <t>Joint note</t>
  </si>
  <si>
    <t>Item QA</t>
  </si>
  <si>
    <t>Equivalent boundaries</t>
  </si>
  <si>
    <t>Accepted. Independent boundaries were equivalent; common wording retained.</t>
  </si>
  <si>
    <t>Split/merge reconciliation</t>
  </si>
  <si>
    <t>Agreed to retain each explicit 'because' relation as one atomic relational proposition rather than splitting the evaluative claim from its stated reason.</t>
  </si>
  <si>
    <t>Agreed to retain 'did not help because they added more noise' as one atomic relational proposition so the stated causal relation is preserved.</t>
  </si>
  <si>
    <t>Joint Reconciliation Sign-off</t>
  </si>
  <si>
    <t>Complete only after the final inventory and all nine item confirmations are agreed. This is a consensus stage; it does not replace the frozen independent returns.</t>
  </si>
  <si>
    <t>Reconciliation method</t>
  </si>
  <si>
    <t>Joint review of the two frozen independent inventories; split/merge differences resolved by retaining the smallest independently checkable proposition while preserving explicit causal relations.</t>
  </si>
  <si>
    <t>Coder01 full name / signature</t>
  </si>
  <si>
    <t>Coder02 full name / signature</t>
  </si>
  <si>
    <t>Reconciliation started at (ISO 8601 with timezone)</t>
  </si>
  <si>
    <t>Reconciliation completed at (ISO 8601 with timezone)</t>
  </si>
  <si>
    <t>Independent Phase 1 originals remain unchanged?</t>
  </si>
  <si>
    <t>Condition/item identity key remained concealed?</t>
  </si>
  <si>
    <t>Final inventory preserves stated relations and has no gaps?</t>
  </si>
  <si>
    <t>Coder01 confirms the final inventory for Phase 2?</t>
  </si>
  <si>
    <t>Coder02 confirms the final inventory for Phase 2?</t>
  </si>
  <si>
    <t>Joint resolution note</t>
  </si>
  <si>
    <t>Both coders accepted the 46-proposition common inventory. MD-004 and MD-005 were reconciled by retaining the explicit causal 'because' relation within one proposition; all other items retained equivalent boundaries with standardized wording.</t>
  </si>
  <si>
    <t>Sign-off QA</t>
  </si>
  <si>
    <t>Important</t>
  </si>
  <si>
    <t>If coded IDs are used above, retain a private identity key linking each ID to the real person. Do not place the key in a public evidence package.</t>
  </si>
  <si>
    <t>Reconciliation QA Summary</t>
  </si>
  <si>
    <t>Phase 2 may be issued only when Overall reconciliation QA = PASS. External validation of returned files remains authoritative.</t>
  </si>
  <si>
    <t>Expected</t>
  </si>
  <si>
    <t>Observed</t>
  </si>
  <si>
    <t>Final inventory used propositions</t>
  </si>
  <si>
    <t>&gt;=1 per item</t>
  </si>
  <si>
    <t>The exact total may change during reconciliation, but every item must retain at least one proposition.</t>
  </si>
  <si>
    <t>Final inventory gap rows</t>
  </si>
  <si>
    <t>No used proposition may follow a blank slot within an item.</t>
  </si>
  <si>
    <t>Items jointly confirmed</t>
  </si>
  <si>
    <t>Both coders must confirm all nine final item inventories.</t>
  </si>
  <si>
    <t>Coder sign-off</t>
  </si>
  <si>
    <t>Both coders must provide signatures and final confirmation.</t>
  </si>
  <si>
    <t>Blindness/original-integrity declarations</t>
  </si>
  <si>
    <t>Original returns remain frozen and identity keys remain concealed.</t>
  </si>
  <si>
    <t>Overall reconciliation QA</t>
  </si>
  <si>
    <t>Issue Phase 2 only after this row shows PASS.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</si>
</sst>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quot;T&quot;hh:mm:ss&quot;+08:00&quot;"/>
  </numFmts>
  <fonts count="26">
    <font>
      <sz val="11"/>
      <name val="Carlito"/>
      <charset val="134"/>
    </font>
    <font>
      <b/>
      <sz val="18"/>
      <color rgb="FFFFFFFF"/>
      <name val="Carlito"/>
      <charset val="134"/>
    </font>
    <font>
      <sz val="11"/>
      <color rgb="FF263238"/>
      <name val="Carlito"/>
      <charset val="134"/>
    </font>
    <font>
      <b/>
      <sz val="11"/>
      <color rgb="FFFFFFFF"/>
      <name val="Carlito"/>
      <charset val="134"/>
    </font>
    <font>
      <b/>
      <sz val="11"/>
      <color rgb="FF263238"/>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3">
    <fill>
      <patternFill patternType="none"/>
    </fill>
    <fill>
      <patternFill patternType="gray125"/>
    </fill>
    <fill>
      <patternFill patternType="solid">
        <fgColor rgb="FF1D3F68"/>
        <bgColor indexed="64"/>
      </patternFill>
    </fill>
    <fill>
      <patternFill patternType="solid">
        <fgColor rgb="FFDCEBF7"/>
        <bgColor indexed="64"/>
      </patternFill>
    </fill>
    <fill>
      <patternFill patternType="solid">
        <fgColor rgb="FF0E7580"/>
        <bgColor indexed="64"/>
      </patternFill>
    </fill>
    <fill>
      <patternFill patternType="solid">
        <fgColor rgb="FFE7E6E6"/>
        <bgColor indexed="64"/>
      </patternFill>
    </fill>
    <fill>
      <patternFill patternType="solid">
        <fgColor rgb="FFFFF2CC"/>
        <bgColor indexed="64"/>
      </patternFill>
    </fill>
    <fill>
      <patternFill patternType="solid">
        <fgColor rgb="FFFCE4D6"/>
        <bgColor indexed="64"/>
      </patternFill>
    </fill>
    <fill>
      <patternFill patternType="solid">
        <fgColor rgb="FFF5F7FA"/>
        <bgColor indexed="64"/>
      </patternFill>
    </fill>
    <fill>
      <patternFill patternType="solid">
        <fgColor rgb="FFEDE9FE"/>
        <bgColor indexed="64"/>
      </patternFill>
    </fill>
    <fill>
      <patternFill patternType="solid">
        <fgColor rgb="FFE0F2FE"/>
        <bgColor indexed="64"/>
      </patternFill>
    </fill>
    <fill>
      <patternFill patternType="solid">
        <fgColor rgb="FFE2F0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12"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3" borderId="8" applyNumberFormat="0" applyAlignment="0" applyProtection="0">
      <alignment vertical="center"/>
    </xf>
    <xf numFmtId="0" fontId="16" fillId="14" borderId="9" applyNumberFormat="0" applyAlignment="0" applyProtection="0">
      <alignment vertical="center"/>
    </xf>
    <xf numFmtId="0" fontId="17" fillId="14" borderId="8" applyNumberFormat="0" applyAlignment="0" applyProtection="0">
      <alignment vertical="center"/>
    </xf>
    <xf numFmtId="0" fontId="18" fillId="15"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4" fillId="42" borderId="0" applyNumberFormat="0" applyBorder="0" applyAlignment="0" applyProtection="0">
      <alignment vertical="center"/>
    </xf>
    <xf numFmtId="0" fontId="0" fillId="0" borderId="0"/>
  </cellStyleXfs>
  <cellXfs count="27">
    <xf numFmtId="0" fontId="0" fillId="0" borderId="0" xfId="49"/>
    <xf numFmtId="0" fontId="1" fillId="2" borderId="0" xfId="49" applyNumberFormat="1" applyFont="1" applyFill="1" applyBorder="1" applyAlignment="1">
      <alignment vertical="center"/>
    </xf>
    <xf numFmtId="0" fontId="2" fillId="3" borderId="1" xfId="49" applyNumberFormat="1" applyFont="1" applyFill="1" applyBorder="1" applyAlignment="1">
      <alignment vertical="center" wrapText="1"/>
    </xf>
    <xf numFmtId="0" fontId="2" fillId="3" borderId="2" xfId="49" applyNumberFormat="1" applyFont="1" applyFill="1" applyBorder="1" applyAlignment="1">
      <alignment vertical="center" wrapText="1"/>
    </xf>
    <xf numFmtId="0" fontId="2" fillId="3" borderId="3" xfId="49" applyNumberFormat="1" applyFont="1" applyFill="1" applyBorder="1" applyAlignment="1">
      <alignment vertical="center" wrapText="1"/>
    </xf>
    <xf numFmtId="0" fontId="3" fillId="4" borderId="4" xfId="49" applyNumberFormat="1" applyFont="1" applyFill="1" applyBorder="1" applyAlignment="1">
      <alignment horizontal="center" vertical="center" wrapText="1"/>
    </xf>
    <xf numFmtId="0" fontId="4" fillId="0" borderId="4" xfId="49" applyNumberFormat="1" applyFont="1" applyFill="1" applyBorder="1" applyAlignment="1">
      <alignment vertical="top" wrapText="1"/>
    </xf>
    <xf numFmtId="0" fontId="0" fillId="0" borderId="4" xfId="49" applyNumberFormat="1" applyFont="1" applyFill="1" applyBorder="1" applyAlignment="1">
      <alignment vertical="top" wrapText="1"/>
    </xf>
    <xf numFmtId="0" fontId="5" fillId="0" borderId="4" xfId="49" applyNumberFormat="1" applyFont="1" applyFill="1" applyBorder="1" applyAlignment="1">
      <alignment horizontal="center" vertical="top" wrapText="1"/>
    </xf>
    <xf numFmtId="0" fontId="4" fillId="5" borderId="4" xfId="49" applyNumberFormat="1" applyFont="1" applyFill="1" applyBorder="1" applyAlignment="1">
      <alignment vertical="top" wrapText="1"/>
    </xf>
    <xf numFmtId="0" fontId="0" fillId="6" borderId="4" xfId="49" applyNumberFormat="1" applyFont="1" applyFill="1" applyBorder="1" applyAlignment="1">
      <alignment vertical="top" wrapText="1"/>
    </xf>
    <xf numFmtId="176" fontId="0" fillId="6" borderId="4" xfId="49" applyNumberFormat="1" applyFont="1" applyFill="1" applyBorder="1" applyAlignment="1">
      <alignment vertical="top" wrapText="1"/>
    </xf>
    <xf numFmtId="0" fontId="5" fillId="0" borderId="4" xfId="49" applyNumberFormat="1" applyFont="1" applyFill="1" applyBorder="1" applyAlignment="1">
      <alignment horizontal="center" vertical="top"/>
    </xf>
    <xf numFmtId="0" fontId="4" fillId="7" borderId="0" xfId="49" applyNumberFormat="1" applyFont="1" applyFill="1" applyBorder="1" applyAlignment="1">
      <alignment wrapText="1"/>
    </xf>
    <xf numFmtId="0" fontId="0" fillId="8" borderId="4" xfId="49" applyNumberFormat="1" applyFont="1" applyFill="1" applyBorder="1" applyAlignment="1">
      <alignment vertical="top" wrapText="1"/>
    </xf>
    <xf numFmtId="0" fontId="0" fillId="8" borderId="4" xfId="49" applyNumberFormat="1" applyFont="1" applyFill="1" applyBorder="1" applyAlignment="1">
      <alignment vertical="top"/>
    </xf>
    <xf numFmtId="0" fontId="0" fillId="0" borderId="4" xfId="49" applyNumberFormat="1" applyFont="1" applyFill="1" applyBorder="1" applyAlignment="1">
      <alignment horizontal="center" vertical="top" wrapText="1"/>
    </xf>
    <xf numFmtId="0" fontId="0" fillId="3" borderId="4" xfId="49" applyNumberFormat="1" applyFont="1" applyFill="1" applyBorder="1" applyAlignment="1">
      <alignment vertical="top" wrapText="1"/>
    </xf>
    <xf numFmtId="0" fontId="0" fillId="9" borderId="4" xfId="49" applyNumberFormat="1" applyFont="1" applyFill="1" applyBorder="1" applyAlignment="1">
      <alignment vertical="top" wrapText="1"/>
    </xf>
    <xf numFmtId="0" fontId="0" fillId="10" borderId="4" xfId="49" applyNumberFormat="1" applyFont="1" applyFill="1" applyBorder="1" applyAlignment="1">
      <alignment vertical="top" wrapText="1"/>
    </xf>
    <xf numFmtId="0" fontId="0" fillId="11" borderId="4" xfId="49" applyNumberFormat="1" applyFont="1" applyFill="1" applyBorder="1" applyAlignment="1">
      <alignment vertical="top" wrapText="1"/>
    </xf>
    <xf numFmtId="0" fontId="5" fillId="11" borderId="4" xfId="49" applyNumberFormat="1" applyFont="1" applyFill="1" applyBorder="1" applyAlignment="1">
      <alignment horizontal="center" vertical="top" wrapText="1"/>
    </xf>
    <xf numFmtId="0" fontId="5" fillId="6" borderId="4" xfId="49" applyNumberFormat="1" applyFont="1" applyFill="1" applyBorder="1" applyAlignment="1">
      <alignment horizontal="center" vertical="top" wrapText="1"/>
    </xf>
    <xf numFmtId="0" fontId="4" fillId="5" borderId="4" xfId="49" applyNumberFormat="1" applyFont="1" applyFill="1" applyBorder="1" applyAlignment="1">
      <alignment vertical="top"/>
    </xf>
    <xf numFmtId="0" fontId="2" fillId="8" borderId="4" xfId="49" applyNumberFormat="1" applyFont="1" applyFill="1" applyBorder="1" applyAlignment="1">
      <alignment vertical="top"/>
    </xf>
    <xf numFmtId="0" fontId="4" fillId="3" borderId="4" xfId="49" applyNumberFormat="1" applyFont="1" applyFill="1" applyBorder="1" applyAlignment="1">
      <alignment vertical="top" wrapText="1"/>
    </xf>
    <xf numFmtId="0" fontId="2" fillId="3" borderId="4"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9C0006"/>
      </font>
      <fill>
        <patternFill patternType="solid">
          <bgColor rgb="FFFCE4D6"/>
        </patternFill>
      </fill>
    </dxf>
    <dxf>
      <font>
        <b val="1"/>
        <color rgb="FF006100"/>
      </font>
      <fill>
        <patternFill patternType="solid">
          <bgColor rgb="FFE2F0D9"/>
        </patternFill>
      </fill>
    </dxf>
    <dxf>
      <font>
        <b val="1"/>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showGridLines="0" workbookViewId="0">
      <selection activeCell="A1" sqref="A1:H2"/>
    </sheetView>
  </sheetViews>
  <sheetFormatPr defaultColWidth="9" defaultRowHeight="13.8" outlineLevelCol="7"/>
  <cols>
    <col min="1" max="1" width="27.7833333333333" customWidth="1"/>
    <col min="2" max="2" width="100" customWidth="1"/>
    <col min="3" max="8" width="2.21666666666667" customWidth="1"/>
  </cols>
  <sheetData>
    <row r="1" ht="24" customHeight="1" spans="1:8">
      <c r="A1" s="1" t="s">
        <v>0</v>
      </c>
      <c r="B1" s="1"/>
      <c r="C1" s="1"/>
      <c r="D1" s="1"/>
      <c r="E1" s="1"/>
      <c r="F1" s="1"/>
      <c r="G1" s="1"/>
      <c r="H1" s="1"/>
    </row>
    <row r="2" ht="24" customHeight="1" spans="1:8">
      <c r="A2" s="1"/>
      <c r="B2" s="1"/>
      <c r="C2" s="1"/>
      <c r="D2" s="1"/>
      <c r="E2" s="1"/>
      <c r="F2" s="1"/>
      <c r="G2" s="1"/>
      <c r="H2" s="1"/>
    </row>
    <row r="4" ht="31.5" customHeight="1" spans="1:8">
      <c r="A4" s="2" t="s">
        <v>1</v>
      </c>
      <c r="B4" s="3"/>
      <c r="C4" s="3"/>
      <c r="D4" s="3"/>
      <c r="E4" s="3"/>
      <c r="F4" s="3"/>
      <c r="G4" s="3"/>
      <c r="H4" s="4"/>
    </row>
    <row r="6" spans="1:8">
      <c r="A6" s="23" t="s">
        <v>2</v>
      </c>
      <c r="B6" s="24" t="s">
        <v>3</v>
      </c>
    </row>
    <row r="7" spans="1:8">
      <c r="A7" s="23" t="s">
        <v>4</v>
      </c>
      <c r="B7" s="24" t="s">
        <v>5</v>
      </c>
    </row>
    <row r="8" spans="1:8">
      <c r="A8" s="23" t="s">
        <v>6</v>
      </c>
      <c r="B8" s="24" t="s">
        <v>7</v>
      </c>
    </row>
    <row r="9" spans="1:8">
      <c r="A9" s="23" t="s">
        <v>8</v>
      </c>
      <c r="B9" s="24" t="s">
        <v>9</v>
      </c>
    </row>
    <row r="10" spans="1:8">
      <c r="A10" s="23" t="s">
        <v>10</v>
      </c>
      <c r="B10" s="24" t="s">
        <v>11</v>
      </c>
    </row>
    <row r="11" spans="1:8">
      <c r="A11" s="23" t="s">
        <v>12</v>
      </c>
      <c r="B11" s="24" t="s">
        <v>13</v>
      </c>
    </row>
    <row r="14" ht="55.5" customHeight="1" spans="1:8">
      <c r="A14" s="25" t="s">
        <v>14</v>
      </c>
      <c r="B14" s="26" t="s">
        <v>15</v>
      </c>
    </row>
    <row r="15" ht="55.5" customHeight="1" spans="1:8">
      <c r="A15" s="25" t="s">
        <v>16</v>
      </c>
      <c r="B15" s="26" t="s">
        <v>17</v>
      </c>
    </row>
    <row r="16" ht="55.5" customHeight="1" spans="1:8">
      <c r="A16" s="25" t="s">
        <v>18</v>
      </c>
      <c r="B16" s="26" t="s">
        <v>19</v>
      </c>
    </row>
    <row r="17" ht="55.5" customHeight="1" spans="1:2">
      <c r="A17" s="25" t="s">
        <v>20</v>
      </c>
      <c r="B17" s="26" t="s">
        <v>21</v>
      </c>
    </row>
    <row r="18" ht="55.5" customHeight="1" spans="1:2">
      <c r="A18" s="25" t="s">
        <v>22</v>
      </c>
      <c r="B18" s="26" t="s">
        <v>23</v>
      </c>
    </row>
  </sheetData>
  <mergeCells count="2">
    <mergeCell ref="A4:H4"/>
    <mergeCell ref="A1:H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showGridLines="0" topLeftCell="A4" workbookViewId="0">
      <selection activeCell="F17" sqref="F17"/>
    </sheetView>
  </sheetViews>
  <sheetFormatPr defaultColWidth="9" defaultRowHeight="13.8" outlineLevelCol="5"/>
  <cols>
    <col min="1" max="1" width="21.1083333333333" customWidth="1"/>
    <col min="2" max="3" width="26.6666666666667" customWidth="1"/>
    <col min="4" max="4" width="20" customWidth="1"/>
    <col min="5" max="5" width="11.1083333333333" customWidth="1"/>
    <col min="6" max="6" width="57.7833333333333" customWidth="1"/>
  </cols>
  <sheetData>
    <row r="1" spans="1:6">
      <c r="A1" s="1" t="s">
        <v>24</v>
      </c>
      <c r="B1" s="1"/>
      <c r="C1" s="1"/>
      <c r="D1" s="1"/>
      <c r="E1" s="1"/>
      <c r="F1" s="1"/>
    </row>
    <row r="2" spans="1:6">
      <c r="A2" s="1"/>
      <c r="B2" s="1"/>
      <c r="C2" s="1"/>
      <c r="D2" s="1"/>
      <c r="E2" s="1"/>
      <c r="F2" s="1"/>
    </row>
    <row r="4" spans="1:6">
      <c r="A4" s="2" t="s">
        <v>25</v>
      </c>
      <c r="B4" s="3"/>
      <c r="C4" s="3"/>
      <c r="D4" s="3"/>
      <c r="E4" s="3"/>
      <c r="F4" s="4"/>
    </row>
    <row r="6" spans="1:6">
      <c r="A6" s="5" t="s">
        <v>26</v>
      </c>
      <c r="B6" s="5" t="s">
        <v>27</v>
      </c>
      <c r="C6" s="5" t="s">
        <v>28</v>
      </c>
      <c r="D6" s="5" t="s">
        <v>29</v>
      </c>
      <c r="E6" s="5" t="s">
        <v>30</v>
      </c>
      <c r="F6" s="5" t="s">
        <v>31</v>
      </c>
    </row>
    <row r="7" ht="42" customHeight="1" spans="1:6">
      <c r="A7" s="6" t="s">
        <v>32</v>
      </c>
      <c r="B7" s="7" t="s">
        <v>5</v>
      </c>
      <c r="C7" s="7" t="s">
        <v>5</v>
      </c>
      <c r="D7" s="7" t="s">
        <v>33</v>
      </c>
      <c r="E7" s="21" t="s">
        <v>34</v>
      </c>
      <c r="F7" s="7" t="s">
        <v>35</v>
      </c>
    </row>
    <row r="8" ht="42" customHeight="1" spans="1:6">
      <c r="A8" s="6" t="s">
        <v>36</v>
      </c>
      <c r="B8" s="7" t="s">
        <v>34</v>
      </c>
      <c r="C8" s="7" t="s">
        <v>34</v>
      </c>
      <c r="D8" s="7" t="s">
        <v>37</v>
      </c>
      <c r="E8" s="21" t="s">
        <v>34</v>
      </c>
      <c r="F8" s="7" t="s">
        <v>38</v>
      </c>
    </row>
    <row r="9" ht="42" customHeight="1" spans="1:6">
      <c r="A9" s="6" t="s">
        <v>39</v>
      </c>
      <c r="B9" s="7" t="s">
        <v>40</v>
      </c>
      <c r="C9" s="7" t="s">
        <v>40</v>
      </c>
      <c r="D9" s="7" t="s">
        <v>41</v>
      </c>
      <c r="E9" s="21" t="s">
        <v>34</v>
      </c>
      <c r="F9" s="7" t="s">
        <v>42</v>
      </c>
    </row>
    <row r="10" ht="42" customHeight="1" spans="1:6">
      <c r="A10" s="6" t="s">
        <v>43</v>
      </c>
      <c r="B10" s="7" t="s">
        <v>44</v>
      </c>
      <c r="C10" s="7" t="s">
        <v>45</v>
      </c>
      <c r="D10" s="7" t="s">
        <v>46</v>
      </c>
      <c r="E10" s="21" t="s">
        <v>34</v>
      </c>
      <c r="F10" s="7" t="s">
        <v>47</v>
      </c>
    </row>
    <row r="11" ht="42" customHeight="1" spans="1:6">
      <c r="A11" s="6" t="s">
        <v>48</v>
      </c>
      <c r="B11" s="7">
        <v>9</v>
      </c>
      <c r="C11" s="7">
        <v>9</v>
      </c>
      <c r="D11" s="7" t="s">
        <v>49</v>
      </c>
      <c r="E11" s="21" t="s">
        <v>34</v>
      </c>
      <c r="F11" s="7" t="s">
        <v>50</v>
      </c>
    </row>
    <row r="12" ht="42" customHeight="1" spans="1:6">
      <c r="A12" s="6" t="s">
        <v>51</v>
      </c>
      <c r="B12" s="7">
        <v>9</v>
      </c>
      <c r="C12" s="7">
        <v>9</v>
      </c>
      <c r="D12" s="7" t="s">
        <v>52</v>
      </c>
      <c r="E12" s="21" t="s">
        <v>34</v>
      </c>
      <c r="F12" s="7" t="s">
        <v>53</v>
      </c>
    </row>
    <row r="13" ht="42" customHeight="1" spans="1:6">
      <c r="A13" s="6" t="s">
        <v>54</v>
      </c>
      <c r="B13" s="7" t="s">
        <v>55</v>
      </c>
      <c r="C13" s="7" t="s">
        <v>55</v>
      </c>
      <c r="D13" s="7" t="s">
        <v>33</v>
      </c>
      <c r="E13" s="21" t="s">
        <v>34</v>
      </c>
      <c r="F13" s="7" t="s">
        <v>56</v>
      </c>
    </row>
    <row r="14" ht="42" customHeight="1" spans="1:6">
      <c r="A14" s="6" t="s">
        <v>57</v>
      </c>
      <c r="B14" s="7" t="s">
        <v>58</v>
      </c>
      <c r="C14" s="7" t="s">
        <v>58</v>
      </c>
      <c r="D14" s="7" t="s">
        <v>59</v>
      </c>
      <c r="E14" s="21" t="s">
        <v>60</v>
      </c>
      <c r="F14" s="7" t="s">
        <v>61</v>
      </c>
    </row>
    <row r="15" ht="42" customHeight="1" spans="1:6">
      <c r="A15" s="6" t="s">
        <v>62</v>
      </c>
      <c r="B15" s="7">
        <v>49</v>
      </c>
      <c r="C15" s="7">
        <v>46</v>
      </c>
      <c r="D15" s="7" t="s">
        <v>63</v>
      </c>
      <c r="E15" s="21" t="s">
        <v>34</v>
      </c>
      <c r="F15" s="7" t="s">
        <v>64</v>
      </c>
    </row>
    <row r="16" ht="42" customHeight="1" spans="1:6">
      <c r="A16" s="6" t="s">
        <v>65</v>
      </c>
      <c r="B16" s="7">
        <v>7</v>
      </c>
      <c r="C16" s="7">
        <v>7</v>
      </c>
      <c r="D16" s="7" t="s">
        <v>66</v>
      </c>
      <c r="E16" s="21" t="s">
        <v>34</v>
      </c>
      <c r="F16" s="7" t="s">
        <v>67</v>
      </c>
    </row>
    <row r="17" ht="42" customHeight="1" spans="1:6">
      <c r="A17" s="6" t="s">
        <v>68</v>
      </c>
      <c r="B17" s="7">
        <v>2</v>
      </c>
      <c r="C17" s="7">
        <v>2</v>
      </c>
      <c r="D17" s="7" t="s">
        <v>69</v>
      </c>
      <c r="E17" s="22" t="s">
        <v>70</v>
      </c>
      <c r="F17" s="7" t="s">
        <v>71</v>
      </c>
    </row>
    <row r="18" ht="42" customHeight="1" spans="1:6">
      <c r="A18" s="6" t="s">
        <v>72</v>
      </c>
      <c r="B18" s="7" t="s">
        <v>73</v>
      </c>
      <c r="C18" s="7" t="s">
        <v>73</v>
      </c>
      <c r="D18" s="7" t="s">
        <v>74</v>
      </c>
      <c r="E18" s="22" t="s">
        <v>75</v>
      </c>
      <c r="F18" s="7" t="s">
        <v>76</v>
      </c>
    </row>
  </sheetData>
  <mergeCells count="2">
    <mergeCell ref="A4:F4"/>
    <mergeCell ref="A1:F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showGridLines="0" workbookViewId="0">
      <selection activeCell="A1" sqref="A1:D2"/>
    </sheetView>
  </sheetViews>
  <sheetFormatPr defaultColWidth="9" defaultRowHeight="13.8" outlineLevelCol="3"/>
  <cols>
    <col min="1" max="1" width="11.1083333333333" customWidth="1"/>
    <col min="2" max="2" width="20" customWidth="1"/>
    <col min="3" max="4" width="67.7833333333333" customWidth="1"/>
  </cols>
  <sheetData>
    <row r="1" spans="1:4">
      <c r="A1" s="1" t="s">
        <v>77</v>
      </c>
      <c r="B1" s="1"/>
      <c r="C1" s="1"/>
      <c r="D1" s="1"/>
    </row>
    <row r="2" spans="1:4">
      <c r="A2" s="1"/>
      <c r="B2" s="1"/>
      <c r="C2" s="1"/>
      <c r="D2" s="1"/>
    </row>
    <row r="4" spans="1:4">
      <c r="A4" s="2" t="s">
        <v>78</v>
      </c>
      <c r="B4" s="3"/>
      <c r="C4" s="3"/>
      <c r="D4" s="4"/>
    </row>
    <row r="6" ht="27.6" spans="1:4">
      <c r="A6" s="5" t="s">
        <v>79</v>
      </c>
      <c r="B6" s="5" t="s">
        <v>80</v>
      </c>
      <c r="C6" s="5" t="s">
        <v>81</v>
      </c>
      <c r="D6" s="5" t="s">
        <v>82</v>
      </c>
    </row>
    <row r="7" ht="84" customHeight="1" spans="1:4">
      <c r="A7" s="14" t="s">
        <v>83</v>
      </c>
      <c r="B7" s="14" t="s">
        <v>84</v>
      </c>
      <c r="C7" s="17" t="s">
        <v>85</v>
      </c>
      <c r="D7" s="20" t="s">
        <v>86</v>
      </c>
    </row>
    <row r="8" ht="84" customHeight="1" spans="1:4">
      <c r="A8" s="14" t="s">
        <v>87</v>
      </c>
      <c r="B8" s="14" t="s">
        <v>84</v>
      </c>
      <c r="C8" s="17" t="s">
        <v>88</v>
      </c>
      <c r="D8" s="20" t="s">
        <v>89</v>
      </c>
    </row>
    <row r="9" ht="84" customHeight="1" spans="1:4">
      <c r="A9" s="14" t="s">
        <v>90</v>
      </c>
      <c r="B9" s="14" t="s">
        <v>84</v>
      </c>
      <c r="C9" s="17" t="s">
        <v>91</v>
      </c>
      <c r="D9" s="20" t="s">
        <v>92</v>
      </c>
    </row>
    <row r="10" ht="84" customHeight="1" spans="1:4">
      <c r="A10" s="14" t="s">
        <v>93</v>
      </c>
      <c r="B10" s="14" t="s">
        <v>94</v>
      </c>
      <c r="C10" s="17" t="s">
        <v>95</v>
      </c>
      <c r="D10" s="20" t="s">
        <v>96</v>
      </c>
    </row>
    <row r="11" ht="84" customHeight="1" spans="1:4">
      <c r="A11" s="14" t="s">
        <v>97</v>
      </c>
      <c r="B11" s="14" t="s">
        <v>98</v>
      </c>
      <c r="C11" s="17" t="s">
        <v>99</v>
      </c>
      <c r="D11" s="20" t="s">
        <v>100</v>
      </c>
    </row>
    <row r="12" ht="84" customHeight="1" spans="1:4">
      <c r="A12" s="14" t="s">
        <v>101</v>
      </c>
      <c r="B12" s="14" t="s">
        <v>84</v>
      </c>
      <c r="C12" s="17" t="s">
        <v>102</v>
      </c>
      <c r="D12" s="20" t="s">
        <v>103</v>
      </c>
    </row>
    <row r="13" ht="84" customHeight="1" spans="1:4">
      <c r="A13" s="14" t="s">
        <v>104</v>
      </c>
      <c r="B13" s="14" t="s">
        <v>105</v>
      </c>
      <c r="C13" s="17" t="s">
        <v>106</v>
      </c>
      <c r="D13" s="20" t="s">
        <v>107</v>
      </c>
    </row>
    <row r="14" ht="84" customHeight="1" spans="1:4">
      <c r="A14" s="14" t="s">
        <v>108</v>
      </c>
      <c r="B14" s="14" t="s">
        <v>84</v>
      </c>
      <c r="C14" s="17" t="s">
        <v>109</v>
      </c>
      <c r="D14" s="20" t="s">
        <v>110</v>
      </c>
    </row>
    <row r="15" ht="84" customHeight="1" spans="1:4">
      <c r="A15" s="14" t="s">
        <v>111</v>
      </c>
      <c r="B15" s="14" t="s">
        <v>112</v>
      </c>
      <c r="C15" s="17" t="s">
        <v>113</v>
      </c>
      <c r="D15" s="20" t="s">
        <v>114</v>
      </c>
    </row>
  </sheetData>
  <mergeCells count="2">
    <mergeCell ref="A4:D4"/>
    <mergeCell ref="A1:D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showGridLines="0" workbookViewId="0">
      <selection activeCell="A1" sqref="A1:F2"/>
    </sheetView>
  </sheetViews>
  <sheetFormatPr defaultColWidth="9" defaultRowHeight="13.8" outlineLevelRow="7" outlineLevelCol="5"/>
  <cols>
    <col min="1" max="1" width="10" customWidth="1"/>
    <col min="2" max="2" width="47.7833333333333" customWidth="1"/>
    <col min="3" max="4" width="43.3333333333333" customWidth="1"/>
    <col min="5" max="5" width="46.6666666666667" customWidth="1"/>
    <col min="6" max="6" width="40" customWidth="1"/>
  </cols>
  <sheetData>
    <row r="1" spans="1:6">
      <c r="A1" s="1" t="s">
        <v>115</v>
      </c>
      <c r="B1" s="1"/>
      <c r="C1" s="1"/>
      <c r="D1" s="1"/>
      <c r="E1" s="1"/>
      <c r="F1" s="1"/>
    </row>
    <row r="2" spans="1:6">
      <c r="A2" s="1"/>
      <c r="B2" s="1"/>
      <c r="C2" s="1"/>
      <c r="D2" s="1"/>
      <c r="E2" s="1"/>
      <c r="F2" s="1"/>
    </row>
    <row r="4" spans="1:6">
      <c r="A4" s="2" t="s">
        <v>116</v>
      </c>
      <c r="B4" s="3"/>
      <c r="C4" s="3"/>
      <c r="D4" s="3"/>
      <c r="E4" s="3"/>
      <c r="F4" s="4"/>
    </row>
    <row r="6" spans="1:6">
      <c r="A6" s="5" t="s">
        <v>117</v>
      </c>
      <c r="B6" s="5" t="s">
        <v>81</v>
      </c>
      <c r="C6" s="5" t="s">
        <v>118</v>
      </c>
      <c r="D6" s="5" t="s">
        <v>119</v>
      </c>
      <c r="E6" s="5" t="s">
        <v>120</v>
      </c>
      <c r="F6" s="5" t="s">
        <v>121</v>
      </c>
    </row>
    <row r="7" ht="187.5" customHeight="1" spans="1:6">
      <c r="A7" s="7" t="s">
        <v>93</v>
      </c>
      <c r="B7" s="7" t="s">
        <v>95</v>
      </c>
      <c r="C7" s="18" t="s">
        <v>122</v>
      </c>
      <c r="D7" s="19" t="s">
        <v>123</v>
      </c>
      <c r="E7" s="10" t="s">
        <v>124</v>
      </c>
      <c r="F7" s="17" t="s">
        <v>125</v>
      </c>
    </row>
    <row r="8" ht="187.5" customHeight="1" spans="1:6">
      <c r="A8" s="7" t="s">
        <v>97</v>
      </c>
      <c r="B8" s="7" t="s">
        <v>99</v>
      </c>
      <c r="C8" s="18" t="s">
        <v>126</v>
      </c>
      <c r="D8" s="19" t="s">
        <v>127</v>
      </c>
      <c r="E8" s="10" t="s">
        <v>128</v>
      </c>
      <c r="F8" s="17" t="s">
        <v>125</v>
      </c>
    </row>
  </sheetData>
  <mergeCells count="2">
    <mergeCell ref="A4:F4"/>
    <mergeCell ref="A1:F2"/>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4"/>
  <sheetViews>
    <sheetView showGridLines="0" workbookViewId="0">
      <selection activeCell="A1" sqref="A1:E2"/>
    </sheetView>
  </sheetViews>
  <sheetFormatPr defaultColWidth="9" defaultRowHeight="13.8" outlineLevelCol="4"/>
  <cols>
    <col min="1" max="2" width="12.2166666666667" customWidth="1"/>
    <col min="3" max="3" width="72.2166666666667" customWidth="1"/>
    <col min="4" max="4" width="11.1083333333333" customWidth="1"/>
    <col min="5" max="5" width="37.7833333333333" customWidth="1"/>
  </cols>
  <sheetData>
    <row r="1" spans="1:5">
      <c r="A1" s="1" t="s">
        <v>129</v>
      </c>
      <c r="B1" s="1"/>
      <c r="C1" s="1"/>
      <c r="D1" s="1"/>
      <c r="E1" s="1"/>
    </row>
    <row r="2" spans="1:5">
      <c r="A2" s="1"/>
      <c r="B2" s="1"/>
      <c r="C2" s="1"/>
      <c r="D2" s="1"/>
      <c r="E2" s="1"/>
    </row>
    <row r="4" spans="1:5">
      <c r="A4" s="2" t="s">
        <v>130</v>
      </c>
      <c r="B4" s="3"/>
      <c r="C4" s="3"/>
      <c r="D4" s="3"/>
      <c r="E4" s="4"/>
    </row>
    <row r="6" ht="27.6" spans="1:5">
      <c r="A6" s="5" t="s">
        <v>79</v>
      </c>
      <c r="B6" s="5" t="s">
        <v>131</v>
      </c>
      <c r="C6" s="5" t="s">
        <v>132</v>
      </c>
      <c r="D6" s="5" t="s">
        <v>133</v>
      </c>
      <c r="E6" s="5" t="s">
        <v>134</v>
      </c>
    </row>
    <row r="7" ht="31.5" customHeight="1" spans="1:5">
      <c r="A7" s="15" t="s">
        <v>83</v>
      </c>
      <c r="B7" s="15">
        <v>1</v>
      </c>
      <c r="C7" s="10" t="s">
        <v>135</v>
      </c>
      <c r="D7" s="16" t="str">
        <f>IF(C7="","UNUSED",IF(COUNTBLANK(C$7:C7)=0,"USED","GAP"))</f>
        <v>USED</v>
      </c>
      <c r="E7" s="17" t="s">
        <v>136</v>
      </c>
    </row>
    <row r="8" ht="31.5" customHeight="1" spans="1:5">
      <c r="A8" s="15" t="s">
        <v>83</v>
      </c>
      <c r="B8" s="15">
        <v>2</v>
      </c>
      <c r="C8" s="10" t="s">
        <v>137</v>
      </c>
      <c r="D8" s="16" t="str">
        <f>IF(C8="","UNUSED",IF(COUNTBLANK(C$7:C8)=0,"USED","GAP"))</f>
        <v>USED</v>
      </c>
      <c r="E8" s="17" t="s">
        <v>136</v>
      </c>
    </row>
    <row r="9" ht="31.5" customHeight="1" spans="1:5">
      <c r="A9" s="15" t="s">
        <v>83</v>
      </c>
      <c r="B9" s="15">
        <v>3</v>
      </c>
      <c r="C9" s="10" t="s">
        <v>138</v>
      </c>
      <c r="D9" s="16" t="str">
        <f>IF(C9="","UNUSED",IF(COUNTBLANK(C$7:C9)=0,"USED","GAP"))</f>
        <v>USED</v>
      </c>
      <c r="E9" s="17" t="s">
        <v>136</v>
      </c>
    </row>
    <row r="10" ht="31.5" customHeight="1" spans="1:5">
      <c r="A10" s="15" t="s">
        <v>83</v>
      </c>
      <c r="B10" s="15">
        <v>4</v>
      </c>
      <c r="C10" s="10" t="s">
        <v>139</v>
      </c>
      <c r="D10" s="16" t="str">
        <f>IF(C10="","UNUSED",IF(COUNTBLANK(C$7:C10)=0,"USED","GAP"))</f>
        <v>USED</v>
      </c>
      <c r="E10" s="17" t="s">
        <v>136</v>
      </c>
    </row>
    <row r="11" ht="31.5" customHeight="1" spans="1:5">
      <c r="A11" s="15" t="s">
        <v>83</v>
      </c>
      <c r="B11" s="15">
        <v>5</v>
      </c>
      <c r="C11" s="10" t="s">
        <v>140</v>
      </c>
      <c r="D11" s="16" t="str">
        <f>IF(C11="","UNUSED",IF(COUNTBLANK(C$7:C11)=0,"USED","GAP"))</f>
        <v>USED</v>
      </c>
      <c r="E11" s="17" t="s">
        <v>136</v>
      </c>
    </row>
    <row r="12" ht="31.5" customHeight="1" spans="1:5">
      <c r="A12" s="15" t="s">
        <v>83</v>
      </c>
      <c r="B12" s="15">
        <v>6</v>
      </c>
      <c r="C12" s="10" t="s">
        <v>141</v>
      </c>
      <c r="D12" s="16" t="str">
        <f>IF(C12="","UNUSED",IF(COUNTBLANK(C$7:C12)=0,"USED","GAP"))</f>
        <v>USED</v>
      </c>
      <c r="E12" s="17" t="s">
        <v>136</v>
      </c>
    </row>
    <row r="13" ht="31.5" customHeight="1" spans="1:5">
      <c r="A13" s="15" t="s">
        <v>83</v>
      </c>
      <c r="B13" s="15">
        <v>7</v>
      </c>
      <c r="C13" s="10" t="s">
        <v>142</v>
      </c>
      <c r="D13" s="16" t="str">
        <f>IF(C13="","UNUSED",IF(COUNTBLANK(C$7:C13)=0,"USED","GAP"))</f>
        <v>USED</v>
      </c>
      <c r="E13" s="17" t="s">
        <v>136</v>
      </c>
    </row>
    <row r="14" ht="31.5" customHeight="1" spans="1:5">
      <c r="A14" s="15" t="s">
        <v>83</v>
      </c>
      <c r="B14" s="15">
        <v>8</v>
      </c>
      <c r="C14" s="10" t="s">
        <v>143</v>
      </c>
      <c r="D14" s="16" t="str">
        <f>IF(C14="","UNUSED",IF(COUNTBLANK(C$7:C14)=0,"USED","GAP"))</f>
        <v>UNUSED</v>
      </c>
      <c r="E14" s="17" t="s">
        <v>143</v>
      </c>
    </row>
    <row r="15" ht="31.5" customHeight="1" spans="1:5">
      <c r="A15" s="15" t="s">
        <v>83</v>
      </c>
      <c r="B15" s="15">
        <v>9</v>
      </c>
      <c r="C15" s="10" t="s">
        <v>143</v>
      </c>
      <c r="D15" s="16" t="str">
        <f>IF(C15="","UNUSED",IF(COUNTBLANK(C$7:C15)=0,"USED","GAP"))</f>
        <v>UNUSED</v>
      </c>
      <c r="E15" s="17" t="s">
        <v>143</v>
      </c>
    </row>
    <row r="16" ht="31.5" customHeight="1" spans="1:5">
      <c r="A16" s="15" t="s">
        <v>83</v>
      </c>
      <c r="B16" s="15">
        <v>10</v>
      </c>
      <c r="C16" s="10" t="s">
        <v>143</v>
      </c>
      <c r="D16" s="16" t="str">
        <f>IF(C16="","UNUSED",IF(COUNTBLANK(C$7:C16)=0,"USED","GAP"))</f>
        <v>UNUSED</v>
      </c>
      <c r="E16" s="17" t="s">
        <v>143</v>
      </c>
    </row>
    <row r="17" ht="31.5" customHeight="1" spans="1:5">
      <c r="A17" s="15" t="s">
        <v>83</v>
      </c>
      <c r="B17" s="15">
        <v>11</v>
      </c>
      <c r="C17" s="10" t="s">
        <v>143</v>
      </c>
      <c r="D17" s="16" t="str">
        <f>IF(C17="","UNUSED",IF(COUNTBLANK(C$7:C17)=0,"USED","GAP"))</f>
        <v>UNUSED</v>
      </c>
      <c r="E17" s="17" t="s">
        <v>143</v>
      </c>
    </row>
    <row r="18" ht="31.5" customHeight="1" spans="1:5">
      <c r="A18" s="15" t="s">
        <v>83</v>
      </c>
      <c r="B18" s="15">
        <v>12</v>
      </c>
      <c r="C18" s="10" t="s">
        <v>143</v>
      </c>
      <c r="D18" s="16" t="str">
        <f>IF(C18="","UNUSED",IF(COUNTBLANK(C$7:C18)=0,"USED","GAP"))</f>
        <v>UNUSED</v>
      </c>
      <c r="E18" s="17" t="s">
        <v>143</v>
      </c>
    </row>
    <row r="19" ht="31.5" customHeight="1" spans="1:5">
      <c r="A19" s="15" t="s">
        <v>87</v>
      </c>
      <c r="B19" s="15">
        <v>1</v>
      </c>
      <c r="C19" s="10" t="s">
        <v>135</v>
      </c>
      <c r="D19" s="16" t="str">
        <f>IF(C19="","UNUSED",IF(COUNTBLANK(C$19:C19)=0,"USED","GAP"))</f>
        <v>USED</v>
      </c>
      <c r="E19" s="17" t="s">
        <v>136</v>
      </c>
    </row>
    <row r="20" ht="31.5" customHeight="1" spans="1:5">
      <c r="A20" s="15" t="s">
        <v>87</v>
      </c>
      <c r="B20" s="15">
        <v>2</v>
      </c>
      <c r="C20" s="10" t="s">
        <v>144</v>
      </c>
      <c r="D20" s="16" t="str">
        <f>IF(C20="","UNUSED",IF(COUNTBLANK(C$19:C20)=0,"USED","GAP"))</f>
        <v>USED</v>
      </c>
      <c r="E20" s="17" t="s">
        <v>136</v>
      </c>
    </row>
    <row r="21" ht="31.5" customHeight="1" spans="1:5">
      <c r="A21" s="15" t="s">
        <v>87</v>
      </c>
      <c r="B21" s="15">
        <v>3</v>
      </c>
      <c r="C21" s="10" t="s">
        <v>143</v>
      </c>
      <c r="D21" s="16" t="str">
        <f>IF(C21="","UNUSED",IF(COUNTBLANK(C$19:C21)=0,"USED","GAP"))</f>
        <v>UNUSED</v>
      </c>
      <c r="E21" s="17" t="s">
        <v>143</v>
      </c>
    </row>
    <row r="22" ht="31.5" customHeight="1" spans="1:5">
      <c r="A22" s="15" t="s">
        <v>87</v>
      </c>
      <c r="B22" s="15">
        <v>4</v>
      </c>
      <c r="C22" s="10" t="s">
        <v>143</v>
      </c>
      <c r="D22" s="16" t="str">
        <f>IF(C22="","UNUSED",IF(COUNTBLANK(C$19:C22)=0,"USED","GAP"))</f>
        <v>UNUSED</v>
      </c>
      <c r="E22" s="17" t="s">
        <v>143</v>
      </c>
    </row>
    <row r="23" ht="31.5" customHeight="1" spans="1:5">
      <c r="A23" s="15" t="s">
        <v>87</v>
      </c>
      <c r="B23" s="15">
        <v>5</v>
      </c>
      <c r="C23" s="10" t="s">
        <v>143</v>
      </c>
      <c r="D23" s="16" t="str">
        <f>IF(C23="","UNUSED",IF(COUNTBLANK(C$19:C23)=0,"USED","GAP"))</f>
        <v>UNUSED</v>
      </c>
      <c r="E23" s="17" t="s">
        <v>143</v>
      </c>
    </row>
    <row r="24" ht="31.5" customHeight="1" spans="1:5">
      <c r="A24" s="15" t="s">
        <v>87</v>
      </c>
      <c r="B24" s="15">
        <v>6</v>
      </c>
      <c r="C24" s="10" t="s">
        <v>143</v>
      </c>
      <c r="D24" s="16" t="str">
        <f>IF(C24="","UNUSED",IF(COUNTBLANK(C$19:C24)=0,"USED","GAP"))</f>
        <v>UNUSED</v>
      </c>
      <c r="E24" s="17" t="s">
        <v>143</v>
      </c>
    </row>
    <row r="25" ht="31.5" customHeight="1" spans="1:5">
      <c r="A25" s="15" t="s">
        <v>87</v>
      </c>
      <c r="B25" s="15">
        <v>7</v>
      </c>
      <c r="C25" s="10" t="s">
        <v>143</v>
      </c>
      <c r="D25" s="16" t="str">
        <f>IF(C25="","UNUSED",IF(COUNTBLANK(C$19:C25)=0,"USED","GAP"))</f>
        <v>UNUSED</v>
      </c>
      <c r="E25" s="17" t="s">
        <v>143</v>
      </c>
    </row>
    <row r="26" ht="31.5" customHeight="1" spans="1:5">
      <c r="A26" s="15" t="s">
        <v>87</v>
      </c>
      <c r="B26" s="15">
        <v>8</v>
      </c>
      <c r="C26" s="10" t="s">
        <v>143</v>
      </c>
      <c r="D26" s="16" t="str">
        <f>IF(C26="","UNUSED",IF(COUNTBLANK(C$19:C26)=0,"USED","GAP"))</f>
        <v>UNUSED</v>
      </c>
      <c r="E26" s="17" t="s">
        <v>143</v>
      </c>
    </row>
    <row r="27" ht="31.5" customHeight="1" spans="1:5">
      <c r="A27" s="15" t="s">
        <v>87</v>
      </c>
      <c r="B27" s="15">
        <v>9</v>
      </c>
      <c r="C27" s="10" t="s">
        <v>143</v>
      </c>
      <c r="D27" s="16" t="str">
        <f>IF(C27="","UNUSED",IF(COUNTBLANK(C$19:C27)=0,"USED","GAP"))</f>
        <v>UNUSED</v>
      </c>
      <c r="E27" s="17" t="s">
        <v>143</v>
      </c>
    </row>
    <row r="28" ht="31.5" customHeight="1" spans="1:5">
      <c r="A28" s="15" t="s">
        <v>87</v>
      </c>
      <c r="B28" s="15">
        <v>10</v>
      </c>
      <c r="C28" s="10" t="s">
        <v>143</v>
      </c>
      <c r="D28" s="16" t="str">
        <f>IF(C28="","UNUSED",IF(COUNTBLANK(C$19:C28)=0,"USED","GAP"))</f>
        <v>UNUSED</v>
      </c>
      <c r="E28" s="17" t="s">
        <v>143</v>
      </c>
    </row>
    <row r="29" ht="31.5" customHeight="1" spans="1:5">
      <c r="A29" s="15" t="s">
        <v>87</v>
      </c>
      <c r="B29" s="15">
        <v>11</v>
      </c>
      <c r="C29" s="10" t="s">
        <v>143</v>
      </c>
      <c r="D29" s="16" t="str">
        <f>IF(C29="","UNUSED",IF(COUNTBLANK(C$19:C29)=0,"USED","GAP"))</f>
        <v>UNUSED</v>
      </c>
      <c r="E29" s="17" t="s">
        <v>143</v>
      </c>
    </row>
    <row r="30" ht="31.5" customHeight="1" spans="1:5">
      <c r="A30" s="15" t="s">
        <v>87</v>
      </c>
      <c r="B30" s="15">
        <v>12</v>
      </c>
      <c r="C30" s="10" t="s">
        <v>143</v>
      </c>
      <c r="D30" s="16" t="str">
        <f>IF(C30="","UNUSED",IF(COUNTBLANK(C$19:C30)=0,"USED","GAP"))</f>
        <v>UNUSED</v>
      </c>
      <c r="E30" s="17" t="s">
        <v>143</v>
      </c>
    </row>
    <row r="31" ht="31.5" customHeight="1" spans="1:5">
      <c r="A31" s="15" t="s">
        <v>90</v>
      </c>
      <c r="B31" s="15">
        <v>1</v>
      </c>
      <c r="C31" s="10" t="s">
        <v>145</v>
      </c>
      <c r="D31" s="16" t="str">
        <f>IF(C31="","UNUSED",IF(COUNTBLANK(C$31:C31)=0,"USED","GAP"))</f>
        <v>USED</v>
      </c>
      <c r="E31" s="17" t="s">
        <v>136</v>
      </c>
    </row>
    <row r="32" ht="31.5" customHeight="1" spans="1:5">
      <c r="A32" s="15" t="s">
        <v>90</v>
      </c>
      <c r="B32" s="15">
        <v>2</v>
      </c>
      <c r="C32" s="10" t="s">
        <v>146</v>
      </c>
      <c r="D32" s="16" t="str">
        <f>IF(C32="","UNUSED",IF(COUNTBLANK(C$31:C32)=0,"USED","GAP"))</f>
        <v>USED</v>
      </c>
      <c r="E32" s="17" t="s">
        <v>136</v>
      </c>
    </row>
    <row r="33" ht="31.5" customHeight="1" spans="1:5">
      <c r="A33" s="15" t="s">
        <v>90</v>
      </c>
      <c r="B33" s="15">
        <v>3</v>
      </c>
      <c r="C33" s="10" t="s">
        <v>147</v>
      </c>
      <c r="D33" s="16" t="str">
        <f>IF(C33="","UNUSED",IF(COUNTBLANK(C$31:C33)=0,"USED","GAP"))</f>
        <v>USED</v>
      </c>
      <c r="E33" s="17" t="s">
        <v>136</v>
      </c>
    </row>
    <row r="34" ht="31.5" customHeight="1" spans="1:5">
      <c r="A34" s="15" t="s">
        <v>90</v>
      </c>
      <c r="B34" s="15">
        <v>4</v>
      </c>
      <c r="C34" s="10" t="s">
        <v>148</v>
      </c>
      <c r="D34" s="16" t="str">
        <f>IF(C34="","UNUSED",IF(COUNTBLANK(C$31:C34)=0,"USED","GAP"))</f>
        <v>USED</v>
      </c>
      <c r="E34" s="17" t="s">
        <v>136</v>
      </c>
    </row>
    <row r="35" ht="31.5" customHeight="1" spans="1:5">
      <c r="A35" s="15" t="s">
        <v>90</v>
      </c>
      <c r="B35" s="15">
        <v>5</v>
      </c>
      <c r="C35" s="10" t="s">
        <v>149</v>
      </c>
      <c r="D35" s="16" t="str">
        <f>IF(C35="","UNUSED",IF(COUNTBLANK(C$31:C35)=0,"USED","GAP"))</f>
        <v>USED</v>
      </c>
      <c r="E35" s="17" t="s">
        <v>136</v>
      </c>
    </row>
    <row r="36" ht="31.5" customHeight="1" spans="1:5">
      <c r="A36" s="15" t="s">
        <v>90</v>
      </c>
      <c r="B36" s="15">
        <v>6</v>
      </c>
      <c r="C36" s="10" t="s">
        <v>143</v>
      </c>
      <c r="D36" s="16" t="str">
        <f>IF(C36="","UNUSED",IF(COUNTBLANK(C$31:C36)=0,"USED","GAP"))</f>
        <v>UNUSED</v>
      </c>
      <c r="E36" s="17" t="s">
        <v>143</v>
      </c>
    </row>
    <row r="37" ht="31.5" customHeight="1" spans="1:5">
      <c r="A37" s="15" t="s">
        <v>90</v>
      </c>
      <c r="B37" s="15">
        <v>7</v>
      </c>
      <c r="C37" s="10" t="s">
        <v>143</v>
      </c>
      <c r="D37" s="16" t="str">
        <f>IF(C37="","UNUSED",IF(COUNTBLANK(C$31:C37)=0,"USED","GAP"))</f>
        <v>UNUSED</v>
      </c>
      <c r="E37" s="17" t="s">
        <v>143</v>
      </c>
    </row>
    <row r="38" ht="31.5" customHeight="1" spans="1:5">
      <c r="A38" s="15" t="s">
        <v>90</v>
      </c>
      <c r="B38" s="15">
        <v>8</v>
      </c>
      <c r="C38" s="10" t="s">
        <v>143</v>
      </c>
      <c r="D38" s="16" t="str">
        <f>IF(C38="","UNUSED",IF(COUNTBLANK(C$31:C38)=0,"USED","GAP"))</f>
        <v>UNUSED</v>
      </c>
      <c r="E38" s="17" t="s">
        <v>143</v>
      </c>
    </row>
    <row r="39" ht="31.5" customHeight="1" spans="1:5">
      <c r="A39" s="15" t="s">
        <v>90</v>
      </c>
      <c r="B39" s="15">
        <v>9</v>
      </c>
      <c r="C39" s="10" t="s">
        <v>143</v>
      </c>
      <c r="D39" s="16" t="str">
        <f>IF(C39="","UNUSED",IF(COUNTBLANK(C$31:C39)=0,"USED","GAP"))</f>
        <v>UNUSED</v>
      </c>
      <c r="E39" s="17" t="s">
        <v>143</v>
      </c>
    </row>
    <row r="40" ht="31.5" customHeight="1" spans="1:5">
      <c r="A40" s="15" t="s">
        <v>90</v>
      </c>
      <c r="B40" s="15">
        <v>10</v>
      </c>
      <c r="C40" s="10" t="s">
        <v>143</v>
      </c>
      <c r="D40" s="16" t="str">
        <f>IF(C40="","UNUSED",IF(COUNTBLANK(C$31:C40)=0,"USED","GAP"))</f>
        <v>UNUSED</v>
      </c>
      <c r="E40" s="17" t="s">
        <v>143</v>
      </c>
    </row>
    <row r="41" ht="31.5" customHeight="1" spans="1:5">
      <c r="A41" s="15" t="s">
        <v>90</v>
      </c>
      <c r="B41" s="15">
        <v>11</v>
      </c>
      <c r="C41" s="10" t="s">
        <v>143</v>
      </c>
      <c r="D41" s="16" t="str">
        <f>IF(C41="","UNUSED",IF(COUNTBLANK(C$31:C41)=0,"USED","GAP"))</f>
        <v>UNUSED</v>
      </c>
      <c r="E41" s="17" t="s">
        <v>143</v>
      </c>
    </row>
    <row r="42" ht="31.5" customHeight="1" spans="1:5">
      <c r="A42" s="15" t="s">
        <v>90</v>
      </c>
      <c r="B42" s="15">
        <v>12</v>
      </c>
      <c r="C42" s="10" t="s">
        <v>143</v>
      </c>
      <c r="D42" s="16" t="str">
        <f>IF(C42="","UNUSED",IF(COUNTBLANK(C$31:C42)=0,"USED","GAP"))</f>
        <v>UNUSED</v>
      </c>
      <c r="E42" s="17" t="s">
        <v>143</v>
      </c>
    </row>
    <row r="43" ht="31.5" customHeight="1" spans="1:5">
      <c r="A43" s="15" t="s">
        <v>93</v>
      </c>
      <c r="B43" s="15">
        <v>1</v>
      </c>
      <c r="C43" s="10" t="s">
        <v>150</v>
      </c>
      <c r="D43" s="16" t="str">
        <f>IF(C43="","UNUSED",IF(COUNTBLANK(C$43:C43)=0,"USED","GAP"))</f>
        <v>USED</v>
      </c>
      <c r="E43" s="17" t="s">
        <v>151</v>
      </c>
    </row>
    <row r="44" ht="31.5" customHeight="1" spans="1:5">
      <c r="A44" s="15" t="s">
        <v>93</v>
      </c>
      <c r="B44" s="15">
        <v>2</v>
      </c>
      <c r="C44" s="10" t="s">
        <v>152</v>
      </c>
      <c r="D44" s="16" t="str">
        <f>IF(C44="","UNUSED",IF(COUNTBLANK(C$43:C44)=0,"USED","GAP"))</f>
        <v>USED</v>
      </c>
      <c r="E44" s="17" t="s">
        <v>151</v>
      </c>
    </row>
    <row r="45" ht="31.5" customHeight="1" spans="1:5">
      <c r="A45" s="15" t="s">
        <v>93</v>
      </c>
      <c r="B45" s="15">
        <v>3</v>
      </c>
      <c r="C45" s="10" t="s">
        <v>153</v>
      </c>
      <c r="D45" s="16" t="str">
        <f>IF(C45="","UNUSED",IF(COUNTBLANK(C$43:C45)=0,"USED","GAP"))</f>
        <v>USED</v>
      </c>
      <c r="E45" s="17" t="s">
        <v>151</v>
      </c>
    </row>
    <row r="46" ht="31.5" customHeight="1" spans="1:5">
      <c r="A46" s="15" t="s">
        <v>93</v>
      </c>
      <c r="B46" s="15">
        <v>4</v>
      </c>
      <c r="C46" s="10" t="s">
        <v>154</v>
      </c>
      <c r="D46" s="16" t="str">
        <f>IF(C46="","UNUSED",IF(COUNTBLANK(C$43:C46)=0,"USED","GAP"))</f>
        <v>USED</v>
      </c>
      <c r="E46" s="17" t="s">
        <v>151</v>
      </c>
    </row>
    <row r="47" ht="31.5" customHeight="1" spans="1:5">
      <c r="A47" s="15" t="s">
        <v>93</v>
      </c>
      <c r="B47" s="15">
        <v>5</v>
      </c>
      <c r="C47" s="10" t="s">
        <v>143</v>
      </c>
      <c r="D47" s="16" t="str">
        <f>IF(C47="","UNUSED",IF(COUNTBLANK(C$43:C47)=0,"USED","GAP"))</f>
        <v>UNUSED</v>
      </c>
      <c r="E47" s="17" t="s">
        <v>143</v>
      </c>
    </row>
    <row r="48" ht="31.5" customHeight="1" spans="1:5">
      <c r="A48" s="15" t="s">
        <v>93</v>
      </c>
      <c r="B48" s="15">
        <v>6</v>
      </c>
      <c r="C48" s="10" t="s">
        <v>143</v>
      </c>
      <c r="D48" s="16" t="str">
        <f>IF(C48="","UNUSED",IF(COUNTBLANK(C$43:C48)=0,"USED","GAP"))</f>
        <v>UNUSED</v>
      </c>
      <c r="E48" s="17" t="s">
        <v>143</v>
      </c>
    </row>
    <row r="49" ht="31.5" customHeight="1" spans="1:5">
      <c r="A49" s="15" t="s">
        <v>93</v>
      </c>
      <c r="B49" s="15">
        <v>7</v>
      </c>
      <c r="C49" s="10" t="s">
        <v>143</v>
      </c>
      <c r="D49" s="16" t="str">
        <f>IF(C49="","UNUSED",IF(COUNTBLANK(C$43:C49)=0,"USED","GAP"))</f>
        <v>UNUSED</v>
      </c>
      <c r="E49" s="17" t="s">
        <v>143</v>
      </c>
    </row>
    <row r="50" ht="31.5" customHeight="1" spans="1:5">
      <c r="A50" s="15" t="s">
        <v>93</v>
      </c>
      <c r="B50" s="15">
        <v>8</v>
      </c>
      <c r="C50" s="10" t="s">
        <v>143</v>
      </c>
      <c r="D50" s="16" t="str">
        <f>IF(C50="","UNUSED",IF(COUNTBLANK(C$43:C50)=0,"USED","GAP"))</f>
        <v>UNUSED</v>
      </c>
      <c r="E50" s="17" t="s">
        <v>143</v>
      </c>
    </row>
    <row r="51" ht="31.5" customHeight="1" spans="1:5">
      <c r="A51" s="15" t="s">
        <v>93</v>
      </c>
      <c r="B51" s="15">
        <v>9</v>
      </c>
      <c r="C51" s="10" t="s">
        <v>143</v>
      </c>
      <c r="D51" s="16" t="str">
        <f>IF(C51="","UNUSED",IF(COUNTBLANK(C$43:C51)=0,"USED","GAP"))</f>
        <v>UNUSED</v>
      </c>
      <c r="E51" s="17" t="s">
        <v>143</v>
      </c>
    </row>
    <row r="52" ht="31.5" customHeight="1" spans="1:5">
      <c r="A52" s="15" t="s">
        <v>93</v>
      </c>
      <c r="B52" s="15">
        <v>10</v>
      </c>
      <c r="C52" s="10" t="s">
        <v>143</v>
      </c>
      <c r="D52" s="16" t="str">
        <f>IF(C52="","UNUSED",IF(COUNTBLANK(C$43:C52)=0,"USED","GAP"))</f>
        <v>UNUSED</v>
      </c>
      <c r="E52" s="17" t="s">
        <v>143</v>
      </c>
    </row>
    <row r="53" ht="31.5" customHeight="1" spans="1:5">
      <c r="A53" s="15" t="s">
        <v>93</v>
      </c>
      <c r="B53" s="15">
        <v>11</v>
      </c>
      <c r="C53" s="10" t="s">
        <v>143</v>
      </c>
      <c r="D53" s="16" t="str">
        <f>IF(C53="","UNUSED",IF(COUNTBLANK(C$43:C53)=0,"USED","GAP"))</f>
        <v>UNUSED</v>
      </c>
      <c r="E53" s="17" t="s">
        <v>143</v>
      </c>
    </row>
    <row r="54" ht="31.5" customHeight="1" spans="1:5">
      <c r="A54" s="15" t="s">
        <v>93</v>
      </c>
      <c r="B54" s="15">
        <v>12</v>
      </c>
      <c r="C54" s="10" t="s">
        <v>143</v>
      </c>
      <c r="D54" s="16" t="str">
        <f>IF(C54="","UNUSED",IF(COUNTBLANK(C$43:C54)=0,"USED","GAP"))</f>
        <v>UNUSED</v>
      </c>
      <c r="E54" s="17" t="s">
        <v>143</v>
      </c>
    </row>
    <row r="55" ht="31.5" customHeight="1" spans="1:5">
      <c r="A55" s="15" t="s">
        <v>97</v>
      </c>
      <c r="B55" s="15">
        <v>1</v>
      </c>
      <c r="C55" s="10" t="s">
        <v>155</v>
      </c>
      <c r="D55" s="16" t="str">
        <f>IF(C55="","UNUSED",IF(COUNTBLANK(C$55:C55)=0,"USED","GAP"))</f>
        <v>USED</v>
      </c>
      <c r="E55" s="17" t="s">
        <v>151</v>
      </c>
    </row>
    <row r="56" ht="31.5" customHeight="1" spans="1:5">
      <c r="A56" s="15" t="s">
        <v>97</v>
      </c>
      <c r="B56" s="15">
        <v>2</v>
      </c>
      <c r="C56" s="10" t="s">
        <v>156</v>
      </c>
      <c r="D56" s="16" t="str">
        <f>IF(C56="","UNUSED",IF(COUNTBLANK(C$55:C56)=0,"USED","GAP"))</f>
        <v>USED</v>
      </c>
      <c r="E56" s="17" t="s">
        <v>151</v>
      </c>
    </row>
    <row r="57" ht="31.5" customHeight="1" spans="1:5">
      <c r="A57" s="15" t="s">
        <v>97</v>
      </c>
      <c r="B57" s="15">
        <v>3</v>
      </c>
      <c r="C57" s="10" t="s">
        <v>157</v>
      </c>
      <c r="D57" s="16" t="str">
        <f>IF(C57="","UNUSED",IF(COUNTBLANK(C$55:C57)=0,"USED","GAP"))</f>
        <v>USED</v>
      </c>
      <c r="E57" s="17" t="s">
        <v>151</v>
      </c>
    </row>
    <row r="58" ht="31.5" customHeight="1" spans="1:5">
      <c r="A58" s="15" t="s">
        <v>97</v>
      </c>
      <c r="B58" s="15">
        <v>4</v>
      </c>
      <c r="C58" s="10" t="s">
        <v>158</v>
      </c>
      <c r="D58" s="16" t="str">
        <f>IF(C58="","UNUSED",IF(COUNTBLANK(C$55:C58)=0,"USED","GAP"))</f>
        <v>USED</v>
      </c>
      <c r="E58" s="17" t="s">
        <v>151</v>
      </c>
    </row>
    <row r="59" ht="31.5" customHeight="1" spans="1:5">
      <c r="A59" s="15" t="s">
        <v>97</v>
      </c>
      <c r="B59" s="15">
        <v>5</v>
      </c>
      <c r="C59" s="10" t="s">
        <v>159</v>
      </c>
      <c r="D59" s="16" t="str">
        <f>IF(C59="","UNUSED",IF(COUNTBLANK(C$55:C59)=0,"USED","GAP"))</f>
        <v>USED</v>
      </c>
      <c r="E59" s="17" t="s">
        <v>151</v>
      </c>
    </row>
    <row r="60" ht="31.5" customHeight="1" spans="1:5">
      <c r="A60" s="15" t="s">
        <v>97</v>
      </c>
      <c r="B60" s="15">
        <v>6</v>
      </c>
      <c r="C60" s="10" t="s">
        <v>160</v>
      </c>
      <c r="D60" s="16" t="str">
        <f>IF(C60="","UNUSED",IF(COUNTBLANK(C$55:C60)=0,"USED","GAP"))</f>
        <v>USED</v>
      </c>
      <c r="E60" s="17" t="s">
        <v>151</v>
      </c>
    </row>
    <row r="61" ht="31.5" customHeight="1" spans="1:5">
      <c r="A61" s="15" t="s">
        <v>97</v>
      </c>
      <c r="B61" s="15">
        <v>7</v>
      </c>
      <c r="C61" s="10" t="s">
        <v>143</v>
      </c>
      <c r="D61" s="16" t="str">
        <f>IF(C61="","UNUSED",IF(COUNTBLANK(C$55:C61)=0,"USED","GAP"))</f>
        <v>UNUSED</v>
      </c>
      <c r="E61" s="17" t="s">
        <v>143</v>
      </c>
    </row>
    <row r="62" ht="31.5" customHeight="1" spans="1:5">
      <c r="A62" s="15" t="s">
        <v>97</v>
      </c>
      <c r="B62" s="15">
        <v>8</v>
      </c>
      <c r="C62" s="10" t="s">
        <v>143</v>
      </c>
      <c r="D62" s="16" t="str">
        <f>IF(C62="","UNUSED",IF(COUNTBLANK(C$55:C62)=0,"USED","GAP"))</f>
        <v>UNUSED</v>
      </c>
      <c r="E62" s="17" t="s">
        <v>143</v>
      </c>
    </row>
    <row r="63" ht="31.5" customHeight="1" spans="1:5">
      <c r="A63" s="15" t="s">
        <v>97</v>
      </c>
      <c r="B63" s="15">
        <v>9</v>
      </c>
      <c r="C63" s="10" t="s">
        <v>143</v>
      </c>
      <c r="D63" s="16" t="str">
        <f>IF(C63="","UNUSED",IF(COUNTBLANK(C$55:C63)=0,"USED","GAP"))</f>
        <v>UNUSED</v>
      </c>
      <c r="E63" s="17" t="s">
        <v>143</v>
      </c>
    </row>
    <row r="64" ht="31.5" customHeight="1" spans="1:5">
      <c r="A64" s="15" t="s">
        <v>97</v>
      </c>
      <c r="B64" s="15">
        <v>10</v>
      </c>
      <c r="C64" s="10" t="s">
        <v>143</v>
      </c>
      <c r="D64" s="16" t="str">
        <f>IF(C64="","UNUSED",IF(COUNTBLANK(C$55:C64)=0,"USED","GAP"))</f>
        <v>UNUSED</v>
      </c>
      <c r="E64" s="17" t="s">
        <v>143</v>
      </c>
    </row>
    <row r="65" ht="31.5" customHeight="1" spans="1:5">
      <c r="A65" s="15" t="s">
        <v>97</v>
      </c>
      <c r="B65" s="15">
        <v>11</v>
      </c>
      <c r="C65" s="10" t="s">
        <v>143</v>
      </c>
      <c r="D65" s="16" t="str">
        <f>IF(C65="","UNUSED",IF(COUNTBLANK(C$55:C65)=0,"USED","GAP"))</f>
        <v>UNUSED</v>
      </c>
      <c r="E65" s="17" t="s">
        <v>143</v>
      </c>
    </row>
    <row r="66" ht="31.5" customHeight="1" spans="1:5">
      <c r="A66" s="15" t="s">
        <v>97</v>
      </c>
      <c r="B66" s="15">
        <v>12</v>
      </c>
      <c r="C66" s="10" t="s">
        <v>143</v>
      </c>
      <c r="D66" s="16" t="str">
        <f>IF(C66="","UNUSED",IF(COUNTBLANK(C$55:C66)=0,"USED","GAP"))</f>
        <v>UNUSED</v>
      </c>
      <c r="E66" s="17" t="s">
        <v>143</v>
      </c>
    </row>
    <row r="67" ht="31.5" customHeight="1" spans="1:5">
      <c r="A67" s="15" t="s">
        <v>101</v>
      </c>
      <c r="B67" s="15">
        <v>1</v>
      </c>
      <c r="C67" s="10" t="s">
        <v>161</v>
      </c>
      <c r="D67" s="16" t="str">
        <f>IF(C67="","UNUSED",IF(COUNTBLANK(C$67:C67)=0,"USED","GAP"))</f>
        <v>USED</v>
      </c>
      <c r="E67" s="17" t="s">
        <v>136</v>
      </c>
    </row>
    <row r="68" ht="31.5" customHeight="1" spans="1:5">
      <c r="A68" s="15" t="s">
        <v>101</v>
      </c>
      <c r="B68" s="15">
        <v>2</v>
      </c>
      <c r="C68" s="10" t="s">
        <v>162</v>
      </c>
      <c r="D68" s="16" t="str">
        <f>IF(C68="","UNUSED",IF(COUNTBLANK(C$67:C68)=0,"USED","GAP"))</f>
        <v>USED</v>
      </c>
      <c r="E68" s="17" t="s">
        <v>136</v>
      </c>
    </row>
    <row r="69" ht="31.5" customHeight="1" spans="1:5">
      <c r="A69" s="15" t="s">
        <v>101</v>
      </c>
      <c r="B69" s="15">
        <v>3</v>
      </c>
      <c r="C69" s="10" t="s">
        <v>147</v>
      </c>
      <c r="D69" s="16" t="str">
        <f>IF(C69="","UNUSED",IF(COUNTBLANK(C$67:C69)=0,"USED","GAP"))</f>
        <v>USED</v>
      </c>
      <c r="E69" s="17" t="s">
        <v>136</v>
      </c>
    </row>
    <row r="70" ht="31.5" customHeight="1" spans="1:5">
      <c r="A70" s="15" t="s">
        <v>101</v>
      </c>
      <c r="B70" s="15">
        <v>4</v>
      </c>
      <c r="C70" s="10" t="s">
        <v>163</v>
      </c>
      <c r="D70" s="16" t="str">
        <f>IF(C70="","UNUSED",IF(COUNTBLANK(C$67:C70)=0,"USED","GAP"))</f>
        <v>USED</v>
      </c>
      <c r="E70" s="17" t="s">
        <v>136</v>
      </c>
    </row>
    <row r="71" ht="31.5" customHeight="1" spans="1:5">
      <c r="A71" s="15" t="s">
        <v>101</v>
      </c>
      <c r="B71" s="15">
        <v>5</v>
      </c>
      <c r="C71" s="10" t="s">
        <v>164</v>
      </c>
      <c r="D71" s="16" t="str">
        <f>IF(C71="","UNUSED",IF(COUNTBLANK(C$67:C71)=0,"USED","GAP"))</f>
        <v>USED</v>
      </c>
      <c r="E71" s="17" t="s">
        <v>136</v>
      </c>
    </row>
    <row r="72" ht="31.5" customHeight="1" spans="1:5">
      <c r="A72" s="15" t="s">
        <v>101</v>
      </c>
      <c r="B72" s="15">
        <v>6</v>
      </c>
      <c r="C72" s="10" t="s">
        <v>143</v>
      </c>
      <c r="D72" s="16" t="str">
        <f>IF(C72="","UNUSED",IF(COUNTBLANK(C$67:C72)=0,"USED","GAP"))</f>
        <v>UNUSED</v>
      </c>
      <c r="E72" s="17" t="s">
        <v>143</v>
      </c>
    </row>
    <row r="73" ht="31.5" customHeight="1" spans="1:5">
      <c r="A73" s="15" t="s">
        <v>101</v>
      </c>
      <c r="B73" s="15">
        <v>7</v>
      </c>
      <c r="C73" s="10" t="s">
        <v>143</v>
      </c>
      <c r="D73" s="16" t="str">
        <f>IF(C73="","UNUSED",IF(COUNTBLANK(C$67:C73)=0,"USED","GAP"))</f>
        <v>UNUSED</v>
      </c>
      <c r="E73" s="17" t="s">
        <v>143</v>
      </c>
    </row>
    <row r="74" ht="31.5" customHeight="1" spans="1:5">
      <c r="A74" s="15" t="s">
        <v>101</v>
      </c>
      <c r="B74" s="15">
        <v>8</v>
      </c>
      <c r="C74" s="10" t="s">
        <v>143</v>
      </c>
      <c r="D74" s="16" t="str">
        <f>IF(C74="","UNUSED",IF(COUNTBLANK(C$67:C74)=0,"USED","GAP"))</f>
        <v>UNUSED</v>
      </c>
      <c r="E74" s="17" t="s">
        <v>143</v>
      </c>
    </row>
    <row r="75" ht="31.5" customHeight="1" spans="1:5">
      <c r="A75" s="15" t="s">
        <v>101</v>
      </c>
      <c r="B75" s="15">
        <v>9</v>
      </c>
      <c r="C75" s="10" t="s">
        <v>143</v>
      </c>
      <c r="D75" s="16" t="str">
        <f>IF(C75="","UNUSED",IF(COUNTBLANK(C$67:C75)=0,"USED","GAP"))</f>
        <v>UNUSED</v>
      </c>
      <c r="E75" s="17" t="s">
        <v>143</v>
      </c>
    </row>
    <row r="76" ht="31.5" customHeight="1" spans="1:5">
      <c r="A76" s="15" t="s">
        <v>101</v>
      </c>
      <c r="B76" s="15">
        <v>10</v>
      </c>
      <c r="C76" s="10" t="s">
        <v>143</v>
      </c>
      <c r="D76" s="16" t="str">
        <f>IF(C76="","UNUSED",IF(COUNTBLANK(C$67:C76)=0,"USED","GAP"))</f>
        <v>UNUSED</v>
      </c>
      <c r="E76" s="17" t="s">
        <v>143</v>
      </c>
    </row>
    <row r="77" ht="31.5" customHeight="1" spans="1:5">
      <c r="A77" s="15" t="s">
        <v>101</v>
      </c>
      <c r="B77" s="15">
        <v>11</v>
      </c>
      <c r="C77" s="10" t="s">
        <v>143</v>
      </c>
      <c r="D77" s="16" t="str">
        <f>IF(C77="","UNUSED",IF(COUNTBLANK(C$67:C77)=0,"USED","GAP"))</f>
        <v>UNUSED</v>
      </c>
      <c r="E77" s="17" t="s">
        <v>143</v>
      </c>
    </row>
    <row r="78" ht="31.5" customHeight="1" spans="1:5">
      <c r="A78" s="15" t="s">
        <v>101</v>
      </c>
      <c r="B78" s="15">
        <v>12</v>
      </c>
      <c r="C78" s="10" t="s">
        <v>143</v>
      </c>
      <c r="D78" s="16" t="str">
        <f>IF(C78="","UNUSED",IF(COUNTBLANK(C$67:C78)=0,"USED","GAP"))</f>
        <v>UNUSED</v>
      </c>
      <c r="E78" s="17" t="s">
        <v>143</v>
      </c>
    </row>
    <row r="79" ht="31.5" customHeight="1" spans="1:5">
      <c r="A79" s="15" t="s">
        <v>104</v>
      </c>
      <c r="B79" s="15">
        <v>1</v>
      </c>
      <c r="C79" s="10" t="s">
        <v>165</v>
      </c>
      <c r="D79" s="16" t="str">
        <f>IF(C79="","UNUSED",IF(COUNTBLANK(C$79:C79)=0,"USED","GAP"))</f>
        <v>USED</v>
      </c>
      <c r="E79" s="17" t="s">
        <v>136</v>
      </c>
    </row>
    <row r="80" ht="31.5" customHeight="1" spans="1:5">
      <c r="A80" s="15" t="s">
        <v>104</v>
      </c>
      <c r="B80" s="15">
        <v>2</v>
      </c>
      <c r="C80" s="10" t="s">
        <v>166</v>
      </c>
      <c r="D80" s="16" t="str">
        <f>IF(C80="","UNUSED",IF(COUNTBLANK(C$79:C80)=0,"USED","GAP"))</f>
        <v>USED</v>
      </c>
      <c r="E80" s="17" t="s">
        <v>136</v>
      </c>
    </row>
    <row r="81" ht="31.5" customHeight="1" spans="1:5">
      <c r="A81" s="15" t="s">
        <v>104</v>
      </c>
      <c r="B81" s="15">
        <v>3</v>
      </c>
      <c r="C81" s="10" t="s">
        <v>167</v>
      </c>
      <c r="D81" s="16" t="str">
        <f>IF(C81="","UNUSED",IF(COUNTBLANK(C$79:C81)=0,"USED","GAP"))</f>
        <v>USED</v>
      </c>
      <c r="E81" s="17" t="s">
        <v>136</v>
      </c>
    </row>
    <row r="82" ht="31.5" customHeight="1" spans="1:5">
      <c r="A82" s="15" t="s">
        <v>104</v>
      </c>
      <c r="B82" s="15">
        <v>4</v>
      </c>
      <c r="C82" s="10" t="s">
        <v>168</v>
      </c>
      <c r="D82" s="16" t="str">
        <f>IF(C82="","UNUSED",IF(COUNTBLANK(C$79:C82)=0,"USED","GAP"))</f>
        <v>USED</v>
      </c>
      <c r="E82" s="17" t="s">
        <v>136</v>
      </c>
    </row>
    <row r="83" ht="31.5" customHeight="1" spans="1:5">
      <c r="A83" s="15" t="s">
        <v>104</v>
      </c>
      <c r="B83" s="15">
        <v>5</v>
      </c>
      <c r="C83" s="10" t="s">
        <v>169</v>
      </c>
      <c r="D83" s="16" t="str">
        <f>IF(C83="","UNUSED",IF(COUNTBLANK(C$79:C83)=0,"USED","GAP"))</f>
        <v>USED</v>
      </c>
      <c r="E83" s="17" t="s">
        <v>136</v>
      </c>
    </row>
    <row r="84" ht="31.5" customHeight="1" spans="1:5">
      <c r="A84" s="15" t="s">
        <v>104</v>
      </c>
      <c r="B84" s="15">
        <v>6</v>
      </c>
      <c r="C84" s="10" t="s">
        <v>170</v>
      </c>
      <c r="D84" s="16" t="str">
        <f>IF(C84="","UNUSED",IF(COUNTBLANK(C$79:C84)=0,"USED","GAP"))</f>
        <v>USED</v>
      </c>
      <c r="E84" s="17" t="s">
        <v>136</v>
      </c>
    </row>
    <row r="85" ht="31.5" customHeight="1" spans="1:5">
      <c r="A85" s="15" t="s">
        <v>104</v>
      </c>
      <c r="B85" s="15">
        <v>7</v>
      </c>
      <c r="C85" s="10" t="s">
        <v>143</v>
      </c>
      <c r="D85" s="16" t="str">
        <f>IF(C85="","UNUSED",IF(COUNTBLANK(C$79:C85)=0,"USED","GAP"))</f>
        <v>UNUSED</v>
      </c>
      <c r="E85" s="17" t="s">
        <v>143</v>
      </c>
    </row>
    <row r="86" ht="31.5" customHeight="1" spans="1:5">
      <c r="A86" s="15" t="s">
        <v>104</v>
      </c>
      <c r="B86" s="15">
        <v>8</v>
      </c>
      <c r="C86" s="10" t="s">
        <v>143</v>
      </c>
      <c r="D86" s="16" t="str">
        <f>IF(C86="","UNUSED",IF(COUNTBLANK(C$79:C86)=0,"USED","GAP"))</f>
        <v>UNUSED</v>
      </c>
      <c r="E86" s="17" t="s">
        <v>143</v>
      </c>
    </row>
    <row r="87" ht="31.5" customHeight="1" spans="1:5">
      <c r="A87" s="15" t="s">
        <v>104</v>
      </c>
      <c r="B87" s="15">
        <v>9</v>
      </c>
      <c r="C87" s="10" t="s">
        <v>143</v>
      </c>
      <c r="D87" s="16" t="str">
        <f>IF(C87="","UNUSED",IF(COUNTBLANK(C$79:C87)=0,"USED","GAP"))</f>
        <v>UNUSED</v>
      </c>
      <c r="E87" s="17" t="s">
        <v>143</v>
      </c>
    </row>
    <row r="88" ht="31.5" customHeight="1" spans="1:5">
      <c r="A88" s="15" t="s">
        <v>104</v>
      </c>
      <c r="B88" s="15">
        <v>10</v>
      </c>
      <c r="C88" s="10" t="s">
        <v>143</v>
      </c>
      <c r="D88" s="16" t="str">
        <f>IF(C88="","UNUSED",IF(COUNTBLANK(C$79:C88)=0,"USED","GAP"))</f>
        <v>UNUSED</v>
      </c>
      <c r="E88" s="17" t="s">
        <v>143</v>
      </c>
    </row>
    <row r="89" ht="31.5" customHeight="1" spans="1:5">
      <c r="A89" s="15" t="s">
        <v>104</v>
      </c>
      <c r="B89" s="15">
        <v>11</v>
      </c>
      <c r="C89" s="10" t="s">
        <v>143</v>
      </c>
      <c r="D89" s="16" t="str">
        <f>IF(C89="","UNUSED",IF(COUNTBLANK(C$79:C89)=0,"USED","GAP"))</f>
        <v>UNUSED</v>
      </c>
      <c r="E89" s="17" t="s">
        <v>143</v>
      </c>
    </row>
    <row r="90" ht="31.5" customHeight="1" spans="1:5">
      <c r="A90" s="15" t="s">
        <v>104</v>
      </c>
      <c r="B90" s="15">
        <v>12</v>
      </c>
      <c r="C90" s="10" t="s">
        <v>143</v>
      </c>
      <c r="D90" s="16" t="str">
        <f>IF(C90="","UNUSED",IF(COUNTBLANK(C$79:C90)=0,"USED","GAP"))</f>
        <v>UNUSED</v>
      </c>
      <c r="E90" s="17" t="s">
        <v>143</v>
      </c>
    </row>
    <row r="91" ht="31.5" customHeight="1" spans="1:5">
      <c r="A91" s="15" t="s">
        <v>108</v>
      </c>
      <c r="B91" s="15">
        <v>1</v>
      </c>
      <c r="C91" s="10" t="s">
        <v>171</v>
      </c>
      <c r="D91" s="16" t="str">
        <f>IF(C91="","UNUSED",IF(COUNTBLANK(C$91:C91)=0,"USED","GAP"))</f>
        <v>USED</v>
      </c>
      <c r="E91" s="17" t="s">
        <v>136</v>
      </c>
    </row>
    <row r="92" ht="31.5" customHeight="1" spans="1:5">
      <c r="A92" s="15" t="s">
        <v>108</v>
      </c>
      <c r="B92" s="15">
        <v>2</v>
      </c>
      <c r="C92" s="10" t="s">
        <v>161</v>
      </c>
      <c r="D92" s="16" t="str">
        <f>IF(C92="","UNUSED",IF(COUNTBLANK(C$91:C92)=0,"USED","GAP"))</f>
        <v>USED</v>
      </c>
      <c r="E92" s="17" t="s">
        <v>136</v>
      </c>
    </row>
    <row r="93" ht="31.5" customHeight="1" spans="1:5">
      <c r="A93" s="15" t="s">
        <v>108</v>
      </c>
      <c r="B93" s="15">
        <v>3</v>
      </c>
      <c r="C93" s="10" t="s">
        <v>162</v>
      </c>
      <c r="D93" s="16" t="str">
        <f>IF(C93="","UNUSED",IF(COUNTBLANK(C$91:C93)=0,"USED","GAP"))</f>
        <v>USED</v>
      </c>
      <c r="E93" s="17" t="s">
        <v>136</v>
      </c>
    </row>
    <row r="94" ht="31.5" customHeight="1" spans="1:5">
      <c r="A94" s="15" t="s">
        <v>108</v>
      </c>
      <c r="B94" s="15">
        <v>4</v>
      </c>
      <c r="C94" s="10" t="s">
        <v>172</v>
      </c>
      <c r="D94" s="16" t="str">
        <f>IF(C94="","UNUSED",IF(COUNTBLANK(C$91:C94)=0,"USED","GAP"))</f>
        <v>USED</v>
      </c>
      <c r="E94" s="17" t="s">
        <v>136</v>
      </c>
    </row>
    <row r="95" ht="31.5" customHeight="1" spans="1:5">
      <c r="A95" s="15" t="s">
        <v>108</v>
      </c>
      <c r="B95" s="15">
        <v>5</v>
      </c>
      <c r="C95" s="10" t="s">
        <v>173</v>
      </c>
      <c r="D95" s="16" t="str">
        <f>IF(C95="","UNUSED",IF(COUNTBLANK(C$91:C95)=0,"USED","GAP"))</f>
        <v>USED</v>
      </c>
      <c r="E95" s="17" t="s">
        <v>136</v>
      </c>
    </row>
    <row r="96" ht="31.5" customHeight="1" spans="1:5">
      <c r="A96" s="15" t="s">
        <v>108</v>
      </c>
      <c r="B96" s="15">
        <v>6</v>
      </c>
      <c r="C96" s="10" t="s">
        <v>174</v>
      </c>
      <c r="D96" s="16" t="str">
        <f>IF(C96="","UNUSED",IF(COUNTBLANK(C$91:C96)=0,"USED","GAP"))</f>
        <v>USED</v>
      </c>
      <c r="E96" s="17" t="s">
        <v>136</v>
      </c>
    </row>
    <row r="97" ht="31.5" customHeight="1" spans="1:5">
      <c r="A97" s="15" t="s">
        <v>108</v>
      </c>
      <c r="B97" s="15">
        <v>7</v>
      </c>
      <c r="C97" s="10" t="s">
        <v>175</v>
      </c>
      <c r="D97" s="16" t="str">
        <f>IF(C97="","UNUSED",IF(COUNTBLANK(C$91:C97)=0,"USED","GAP"))</f>
        <v>USED</v>
      </c>
      <c r="E97" s="17" t="s">
        <v>136</v>
      </c>
    </row>
    <row r="98" ht="31.5" customHeight="1" spans="1:5">
      <c r="A98" s="15" t="s">
        <v>108</v>
      </c>
      <c r="B98" s="15">
        <v>8</v>
      </c>
      <c r="C98" s="10" t="s">
        <v>176</v>
      </c>
      <c r="D98" s="16" t="str">
        <f>IF(C98="","UNUSED",IF(COUNTBLANK(C$91:C98)=0,"USED","GAP"))</f>
        <v>USED</v>
      </c>
      <c r="E98" s="17" t="s">
        <v>136</v>
      </c>
    </row>
    <row r="99" ht="31.5" customHeight="1" spans="1:5">
      <c r="A99" s="15" t="s">
        <v>108</v>
      </c>
      <c r="B99" s="15">
        <v>9</v>
      </c>
      <c r="C99" s="10" t="s">
        <v>143</v>
      </c>
      <c r="D99" s="16" t="str">
        <f>IF(C99="","UNUSED",IF(COUNTBLANK(C$91:C99)=0,"USED","GAP"))</f>
        <v>UNUSED</v>
      </c>
      <c r="E99" s="17" t="s">
        <v>143</v>
      </c>
    </row>
    <row r="100" ht="31.5" customHeight="1" spans="1:5">
      <c r="A100" s="15" t="s">
        <v>108</v>
      </c>
      <c r="B100" s="15">
        <v>10</v>
      </c>
      <c r="C100" s="10" t="s">
        <v>143</v>
      </c>
      <c r="D100" s="16" t="str">
        <f>IF(C100="","UNUSED",IF(COUNTBLANK(C$91:C100)=0,"USED","GAP"))</f>
        <v>UNUSED</v>
      </c>
      <c r="E100" s="17" t="s">
        <v>143</v>
      </c>
    </row>
    <row r="101" ht="31.5" customHeight="1" spans="1:5">
      <c r="A101" s="15" t="s">
        <v>108</v>
      </c>
      <c r="B101" s="15">
        <v>11</v>
      </c>
      <c r="C101" s="10" t="s">
        <v>143</v>
      </c>
      <c r="D101" s="16" t="str">
        <f>IF(C101="","UNUSED",IF(COUNTBLANK(C$91:C101)=0,"USED","GAP"))</f>
        <v>UNUSED</v>
      </c>
      <c r="E101" s="17" t="s">
        <v>143</v>
      </c>
    </row>
    <row r="102" ht="31.5" customHeight="1" spans="1:5">
      <c r="A102" s="15" t="s">
        <v>108</v>
      </c>
      <c r="B102" s="15">
        <v>12</v>
      </c>
      <c r="C102" s="10" t="s">
        <v>143</v>
      </c>
      <c r="D102" s="16" t="str">
        <f>IF(C102="","UNUSED",IF(COUNTBLANK(C$91:C102)=0,"USED","GAP"))</f>
        <v>UNUSED</v>
      </c>
      <c r="E102" s="17" t="s">
        <v>143</v>
      </c>
    </row>
    <row r="103" ht="31.5" customHeight="1" spans="1:5">
      <c r="A103" s="15" t="s">
        <v>111</v>
      </c>
      <c r="B103" s="15">
        <v>1</v>
      </c>
      <c r="C103" s="10" t="s">
        <v>177</v>
      </c>
      <c r="D103" s="16" t="str">
        <f>IF(C103="","UNUSED",IF(COUNTBLANK(C$103:C103)=0,"USED","GAP"))</f>
        <v>USED</v>
      </c>
      <c r="E103" s="17" t="s">
        <v>136</v>
      </c>
    </row>
    <row r="104" ht="31.5" customHeight="1" spans="1:5">
      <c r="A104" s="15" t="s">
        <v>111</v>
      </c>
      <c r="B104" s="15">
        <v>2</v>
      </c>
      <c r="C104" s="10" t="s">
        <v>178</v>
      </c>
      <c r="D104" s="16" t="str">
        <f>IF(C104="","UNUSED",IF(COUNTBLANK(C$103:C104)=0,"USED","GAP"))</f>
        <v>USED</v>
      </c>
      <c r="E104" s="17" t="s">
        <v>136</v>
      </c>
    </row>
    <row r="105" ht="31.5" customHeight="1" spans="1:5">
      <c r="A105" s="15" t="s">
        <v>111</v>
      </c>
      <c r="B105" s="15">
        <v>3</v>
      </c>
      <c r="C105" s="10" t="s">
        <v>179</v>
      </c>
      <c r="D105" s="16" t="str">
        <f>IF(C105="","UNUSED",IF(COUNTBLANK(C$103:C105)=0,"USED","GAP"))</f>
        <v>USED</v>
      </c>
      <c r="E105" s="17" t="s">
        <v>136</v>
      </c>
    </row>
    <row r="106" ht="31.5" customHeight="1" spans="1:5">
      <c r="A106" s="15" t="s">
        <v>111</v>
      </c>
      <c r="B106" s="15">
        <v>4</v>
      </c>
      <c r="C106" s="10" t="s">
        <v>143</v>
      </c>
      <c r="D106" s="16" t="str">
        <f>IF(C106="","UNUSED",IF(COUNTBLANK(C$103:C106)=0,"USED","GAP"))</f>
        <v>UNUSED</v>
      </c>
      <c r="E106" s="17" t="s">
        <v>143</v>
      </c>
    </row>
    <row r="107" ht="31.5" customHeight="1" spans="1:5">
      <c r="A107" s="15" t="s">
        <v>111</v>
      </c>
      <c r="B107" s="15">
        <v>5</v>
      </c>
      <c r="C107" s="10" t="s">
        <v>143</v>
      </c>
      <c r="D107" s="16" t="str">
        <f>IF(C107="","UNUSED",IF(COUNTBLANK(C$103:C107)=0,"USED","GAP"))</f>
        <v>UNUSED</v>
      </c>
      <c r="E107" s="17" t="s">
        <v>143</v>
      </c>
    </row>
    <row r="108" ht="31.5" customHeight="1" spans="1:5">
      <c r="A108" s="15" t="s">
        <v>111</v>
      </c>
      <c r="B108" s="15">
        <v>6</v>
      </c>
      <c r="C108" s="10" t="s">
        <v>143</v>
      </c>
      <c r="D108" s="16" t="str">
        <f>IF(C108="","UNUSED",IF(COUNTBLANK(C$103:C108)=0,"USED","GAP"))</f>
        <v>UNUSED</v>
      </c>
      <c r="E108" s="17" t="s">
        <v>143</v>
      </c>
    </row>
    <row r="109" ht="31.5" customHeight="1" spans="1:5">
      <c r="A109" s="15" t="s">
        <v>111</v>
      </c>
      <c r="B109" s="15">
        <v>7</v>
      </c>
      <c r="C109" s="10" t="s">
        <v>143</v>
      </c>
      <c r="D109" s="16" t="str">
        <f>IF(C109="","UNUSED",IF(COUNTBLANK(C$103:C109)=0,"USED","GAP"))</f>
        <v>UNUSED</v>
      </c>
      <c r="E109" s="17" t="s">
        <v>143</v>
      </c>
    </row>
    <row r="110" ht="31.5" customHeight="1" spans="1:5">
      <c r="A110" s="15" t="s">
        <v>111</v>
      </c>
      <c r="B110" s="15">
        <v>8</v>
      </c>
      <c r="C110" s="10" t="s">
        <v>143</v>
      </c>
      <c r="D110" s="16" t="str">
        <f>IF(C110="","UNUSED",IF(COUNTBLANK(C$103:C110)=0,"USED","GAP"))</f>
        <v>UNUSED</v>
      </c>
      <c r="E110" s="17" t="s">
        <v>143</v>
      </c>
    </row>
    <row r="111" ht="31.5" customHeight="1" spans="1:5">
      <c r="A111" s="15" t="s">
        <v>111</v>
      </c>
      <c r="B111" s="15">
        <v>9</v>
      </c>
      <c r="C111" s="10" t="s">
        <v>143</v>
      </c>
      <c r="D111" s="16" t="str">
        <f>IF(C111="","UNUSED",IF(COUNTBLANK(C$103:C111)=0,"USED","GAP"))</f>
        <v>UNUSED</v>
      </c>
      <c r="E111" s="17" t="s">
        <v>143</v>
      </c>
    </row>
    <row r="112" ht="31.5" customHeight="1" spans="1:5">
      <c r="A112" s="15" t="s">
        <v>111</v>
      </c>
      <c r="B112" s="15">
        <v>10</v>
      </c>
      <c r="C112" s="10" t="s">
        <v>143</v>
      </c>
      <c r="D112" s="16" t="str">
        <f>IF(C112="","UNUSED",IF(COUNTBLANK(C$103:C112)=0,"USED","GAP"))</f>
        <v>UNUSED</v>
      </c>
      <c r="E112" s="17" t="s">
        <v>143</v>
      </c>
    </row>
    <row r="113" ht="31.5" customHeight="1" spans="1:5">
      <c r="A113" s="15" t="s">
        <v>111</v>
      </c>
      <c r="B113" s="15">
        <v>11</v>
      </c>
      <c r="C113" s="10" t="s">
        <v>143</v>
      </c>
      <c r="D113" s="16" t="str">
        <f>IF(C113="","UNUSED",IF(COUNTBLANK(C$103:C113)=0,"USED","GAP"))</f>
        <v>UNUSED</v>
      </c>
      <c r="E113" s="17" t="s">
        <v>143</v>
      </c>
    </row>
    <row r="114" ht="31.5" customHeight="1" spans="1:5">
      <c r="A114" s="15" t="s">
        <v>111</v>
      </c>
      <c r="B114" s="15">
        <v>12</v>
      </c>
      <c r="C114" s="10" t="s">
        <v>143</v>
      </c>
      <c r="D114" s="16" t="str">
        <f>IF(C114="","UNUSED",IF(COUNTBLANK(C$103:C114)=0,"USED","GAP"))</f>
        <v>UNUSED</v>
      </c>
      <c r="E114" s="17" t="s">
        <v>143</v>
      </c>
    </row>
  </sheetData>
  <mergeCells count="2">
    <mergeCell ref="A4:E4"/>
    <mergeCell ref="A1:E2"/>
  </mergeCells>
  <conditionalFormatting sqref="D7:D114">
    <cfRule type="containsText" dxfId="0" priority="1" operator="between" text="GAP">
      <formula>NOT(ISERROR(SEARCH("GAP",D7)))</formula>
    </cfRule>
    <cfRule type="containsText" dxfId="1" priority="2" operator="between" text="USED">
      <formula>NOT(ISERROR(SEARCH("USED",D7)))</formula>
    </cfRule>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showGridLines="0" workbookViewId="0">
      <selection activeCell="A1" sqref="A1:I2"/>
    </sheetView>
  </sheetViews>
  <sheetFormatPr defaultColWidth="9" defaultRowHeight="13.8"/>
  <cols>
    <col min="1" max="1" width="11.6666666666667" customWidth="1"/>
    <col min="2" max="3" width="12.7833333333333" customWidth="1"/>
    <col min="4" max="4" width="12.2166666666667" customWidth="1"/>
    <col min="5" max="5" width="24.4416666666667" customWidth="1"/>
    <col min="6" max="7" width="14.4416666666667" customWidth="1"/>
    <col min="8" max="8" width="46.6666666666667" customWidth="1"/>
    <col min="9" max="9" width="11.6666666666667" customWidth="1"/>
  </cols>
  <sheetData>
    <row r="1" spans="1:9">
      <c r="A1" s="1" t="s">
        <v>180</v>
      </c>
      <c r="B1" s="1"/>
      <c r="C1" s="1"/>
      <c r="D1" s="1"/>
      <c r="E1" s="1"/>
      <c r="F1" s="1"/>
      <c r="G1" s="1"/>
      <c r="H1" s="1"/>
      <c r="I1" s="1"/>
    </row>
    <row r="2" spans="1:9">
      <c r="A2" s="1"/>
      <c r="B2" s="1"/>
      <c r="C2" s="1"/>
      <c r="D2" s="1"/>
      <c r="E2" s="1"/>
      <c r="F2" s="1"/>
      <c r="G2" s="1"/>
      <c r="H2" s="1"/>
      <c r="I2" s="1"/>
    </row>
    <row r="4" spans="1:9">
      <c r="A4" s="2" t="s">
        <v>181</v>
      </c>
      <c r="B4" s="3"/>
      <c r="C4" s="3"/>
      <c r="D4" s="3"/>
      <c r="E4" s="3"/>
      <c r="F4" s="3"/>
      <c r="G4" s="3"/>
      <c r="H4" s="3"/>
      <c r="I4" s="4"/>
    </row>
    <row r="6" ht="41.4" spans="1:9">
      <c r="A6" s="5" t="s">
        <v>117</v>
      </c>
      <c r="B6" s="5" t="s">
        <v>182</v>
      </c>
      <c r="C6" s="5" t="s">
        <v>183</v>
      </c>
      <c r="D6" s="5" t="s">
        <v>184</v>
      </c>
      <c r="E6" s="5" t="s">
        <v>185</v>
      </c>
      <c r="F6" s="5" t="s">
        <v>186</v>
      </c>
      <c r="G6" s="5" t="s">
        <v>187</v>
      </c>
      <c r="H6" s="5" t="s">
        <v>188</v>
      </c>
      <c r="I6" s="5" t="s">
        <v>189</v>
      </c>
    </row>
    <row r="7" ht="43.5" customHeight="1" spans="1:9">
      <c r="A7" s="14" t="s">
        <v>83</v>
      </c>
      <c r="B7" s="14">
        <v>7</v>
      </c>
      <c r="C7" s="14">
        <v>7</v>
      </c>
      <c r="D7" s="14">
        <v>7</v>
      </c>
      <c r="E7" s="14" t="s">
        <v>190</v>
      </c>
      <c r="F7" s="10" t="s">
        <v>40</v>
      </c>
      <c r="G7" s="10" t="s">
        <v>40</v>
      </c>
      <c r="H7" s="10" t="s">
        <v>191</v>
      </c>
      <c r="I7" s="8" t="str">
        <f>IF(AND(F7="Yes",G7="Yes",COUNTIFS('Final Inventory'!$A$7:$A$18,A7,'Final Inventory'!$D$7:$D$18,"USED")&gt;0,COUNTIF('Final Inventory'!$D$7:$D$18,"GAP")=0),"PASS","PENDING")</f>
        <v>PASS</v>
      </c>
    </row>
    <row r="8" ht="43.5" customHeight="1" spans="1:9">
      <c r="A8" s="14" t="s">
        <v>87</v>
      </c>
      <c r="B8" s="14">
        <v>2</v>
      </c>
      <c r="C8" s="14">
        <v>2</v>
      </c>
      <c r="D8" s="14">
        <v>2</v>
      </c>
      <c r="E8" s="14" t="s">
        <v>190</v>
      </c>
      <c r="F8" s="10" t="s">
        <v>40</v>
      </c>
      <c r="G8" s="10" t="s">
        <v>40</v>
      </c>
      <c r="H8" s="10" t="s">
        <v>191</v>
      </c>
      <c r="I8" s="8" t="str">
        <f>IF(AND(F8="Yes",G8="Yes",COUNTIFS('Final Inventory'!$A$19:$A$30,A8,'Final Inventory'!$D$19:$D$30,"USED")&gt;0,COUNTIF('Final Inventory'!$D$19:$D$30,"GAP")=0),"PASS","PENDING")</f>
        <v>PASS</v>
      </c>
    </row>
    <row r="9" ht="43.5" customHeight="1" spans="1:9">
      <c r="A9" s="14" t="s">
        <v>90</v>
      </c>
      <c r="B9" s="14">
        <v>5</v>
      </c>
      <c r="C9" s="14">
        <v>5</v>
      </c>
      <c r="D9" s="14">
        <v>5</v>
      </c>
      <c r="E9" s="14" t="s">
        <v>190</v>
      </c>
      <c r="F9" s="10" t="s">
        <v>40</v>
      </c>
      <c r="G9" s="10" t="s">
        <v>40</v>
      </c>
      <c r="H9" s="10" t="s">
        <v>191</v>
      </c>
      <c r="I9" s="8" t="str">
        <f>IF(AND(F9="Yes",G9="Yes",COUNTIFS('Final Inventory'!$A$31:$A$42,A9,'Final Inventory'!$D$31:$D$42,"USED")&gt;0,COUNTIF('Final Inventory'!$D$31:$D$42,"GAP")=0),"PASS","PENDING")</f>
        <v>PASS</v>
      </c>
    </row>
    <row r="10" ht="43.5" customHeight="1" spans="1:9">
      <c r="A10" s="14" t="s">
        <v>93</v>
      </c>
      <c r="B10" s="14">
        <v>6</v>
      </c>
      <c r="C10" s="14">
        <v>4</v>
      </c>
      <c r="D10" s="14">
        <v>4</v>
      </c>
      <c r="E10" s="14" t="s">
        <v>192</v>
      </c>
      <c r="F10" s="10" t="s">
        <v>40</v>
      </c>
      <c r="G10" s="10" t="s">
        <v>40</v>
      </c>
      <c r="H10" s="10" t="s">
        <v>193</v>
      </c>
      <c r="I10" s="8" t="str">
        <f>IF(AND(F10="Yes",G10="Yes",COUNTIFS('Final Inventory'!$A$43:$A$54,A10,'Final Inventory'!$D$43:$D$54,"USED")&gt;0,COUNTIF('Final Inventory'!$D$43:$D$54,"GAP")=0),"PASS","PENDING")</f>
        <v>PASS</v>
      </c>
    </row>
    <row r="11" ht="43.5" customHeight="1" spans="1:9">
      <c r="A11" s="14" t="s">
        <v>97</v>
      </c>
      <c r="B11" s="14">
        <v>7</v>
      </c>
      <c r="C11" s="14">
        <v>6</v>
      </c>
      <c r="D11" s="14">
        <v>6</v>
      </c>
      <c r="E11" s="14" t="s">
        <v>192</v>
      </c>
      <c r="F11" s="10" t="s">
        <v>40</v>
      </c>
      <c r="G11" s="10" t="s">
        <v>40</v>
      </c>
      <c r="H11" s="10" t="s">
        <v>194</v>
      </c>
      <c r="I11" s="8" t="str">
        <f>IF(AND(F11="Yes",G11="Yes",COUNTIFS('Final Inventory'!$A$55:$A$66,A11,'Final Inventory'!$D$55:$D$66,"USED")&gt;0,COUNTIF('Final Inventory'!$D$55:$D$66,"GAP")=0),"PASS","PENDING")</f>
        <v>PASS</v>
      </c>
    </row>
    <row r="12" ht="43.5" customHeight="1" spans="1:9">
      <c r="A12" s="14" t="s">
        <v>101</v>
      </c>
      <c r="B12" s="14">
        <v>5</v>
      </c>
      <c r="C12" s="14">
        <v>5</v>
      </c>
      <c r="D12" s="14">
        <v>5</v>
      </c>
      <c r="E12" s="14" t="s">
        <v>190</v>
      </c>
      <c r="F12" s="10" t="s">
        <v>40</v>
      </c>
      <c r="G12" s="10" t="s">
        <v>40</v>
      </c>
      <c r="H12" s="10" t="s">
        <v>191</v>
      </c>
      <c r="I12" s="8" t="str">
        <f>IF(AND(F12="Yes",G12="Yes",COUNTIFS('Final Inventory'!$A$67:$A$78,A12,'Final Inventory'!$D$67:$D$78,"USED")&gt;0,COUNTIF('Final Inventory'!$D$67:$D$78,"GAP")=0),"PASS","PENDING")</f>
        <v>PASS</v>
      </c>
    </row>
    <row r="13" ht="43.5" customHeight="1" spans="1:9">
      <c r="A13" s="14" t="s">
        <v>104</v>
      </c>
      <c r="B13" s="14">
        <v>6</v>
      </c>
      <c r="C13" s="14">
        <v>6</v>
      </c>
      <c r="D13" s="14">
        <v>6</v>
      </c>
      <c r="E13" s="14" t="s">
        <v>190</v>
      </c>
      <c r="F13" s="10" t="s">
        <v>40</v>
      </c>
      <c r="G13" s="10" t="s">
        <v>40</v>
      </c>
      <c r="H13" s="10" t="s">
        <v>191</v>
      </c>
      <c r="I13" s="8" t="str">
        <f>IF(AND(F13="Yes",G13="Yes",COUNTIFS('Final Inventory'!$A$79:$A$90,A13,'Final Inventory'!$D$79:$D$90,"USED")&gt;0,COUNTIF('Final Inventory'!$D$79:$D$90,"GAP")=0),"PASS","PENDING")</f>
        <v>PASS</v>
      </c>
    </row>
    <row r="14" ht="43.5" customHeight="1" spans="1:9">
      <c r="A14" s="14" t="s">
        <v>108</v>
      </c>
      <c r="B14" s="14">
        <v>8</v>
      </c>
      <c r="C14" s="14">
        <v>8</v>
      </c>
      <c r="D14" s="14">
        <v>8</v>
      </c>
      <c r="E14" s="14" t="s">
        <v>190</v>
      </c>
      <c r="F14" s="10" t="s">
        <v>40</v>
      </c>
      <c r="G14" s="10" t="s">
        <v>40</v>
      </c>
      <c r="H14" s="10" t="s">
        <v>191</v>
      </c>
      <c r="I14" s="8" t="str">
        <f>IF(AND(F14="Yes",G14="Yes",COUNTIFS('Final Inventory'!$A$91:$A$102,A14,'Final Inventory'!$D$91:$D$102,"USED")&gt;0,COUNTIF('Final Inventory'!$D$91:$D$102,"GAP")=0),"PASS","PENDING")</f>
        <v>PASS</v>
      </c>
    </row>
    <row r="15" ht="43.5" customHeight="1" spans="1:9">
      <c r="A15" s="14" t="s">
        <v>111</v>
      </c>
      <c r="B15" s="14">
        <v>3</v>
      </c>
      <c r="C15" s="14">
        <v>3</v>
      </c>
      <c r="D15" s="14">
        <v>3</v>
      </c>
      <c r="E15" s="14" t="s">
        <v>190</v>
      </c>
      <c r="F15" s="10" t="s">
        <v>40</v>
      </c>
      <c r="G15" s="10" t="s">
        <v>40</v>
      </c>
      <c r="H15" s="10" t="s">
        <v>191</v>
      </c>
      <c r="I15" s="8" t="str">
        <f>IF(AND(F15="Yes",G15="Yes",COUNTIFS('Final Inventory'!$A$103:$A$114,A15,'Final Inventory'!$D$103:$D$114,"USED")&gt;0,COUNTIF('Final Inventory'!$D$103:$D$114,"GAP")=0),"PASS","PENDING")</f>
        <v>PASS</v>
      </c>
    </row>
  </sheetData>
  <mergeCells count="2">
    <mergeCell ref="A4:I4"/>
    <mergeCell ref="A1:I2"/>
  </mergeCells>
  <conditionalFormatting sqref="I7:I15">
    <cfRule type="containsText" dxfId="1" priority="1" operator="between" text="PASS">
      <formula>NOT(ISERROR(SEARCH("PASS",I7)))</formula>
    </cfRule>
    <cfRule type="containsText" dxfId="2" priority="2" operator="between" text="PENDING">
      <formula>NOT(ISERROR(SEARCH("PENDING",I7)))</formula>
    </cfRule>
  </conditionalFormatting>
  <dataValidations count="1">
    <dataValidation type="list" sqref="F7:G15">
      <formula1>"Yes,No"</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showGridLines="0" tabSelected="1" workbookViewId="0">
      <selection activeCell="B8" sqref="B8"/>
    </sheetView>
  </sheetViews>
  <sheetFormatPr defaultColWidth="9" defaultRowHeight="13.8" outlineLevelCol="3"/>
  <cols>
    <col min="1" max="1" width="43.3333333333333" customWidth="1"/>
    <col min="2" max="2" width="75.5583333333333" customWidth="1"/>
    <col min="3" max="4" width="8.89166666666667" customWidth="1"/>
  </cols>
  <sheetData>
    <row r="1" spans="1:4">
      <c r="A1" s="1" t="s">
        <v>195</v>
      </c>
      <c r="B1" s="1"/>
      <c r="C1" s="1"/>
      <c r="D1" s="1"/>
    </row>
    <row r="2" spans="1:4">
      <c r="A2" s="1"/>
      <c r="B2" s="1"/>
      <c r="C2" s="1"/>
      <c r="D2" s="1"/>
    </row>
    <row r="4" spans="1:4">
      <c r="A4" s="2" t="s">
        <v>196</v>
      </c>
      <c r="B4" s="3"/>
      <c r="C4" s="3"/>
      <c r="D4" s="4"/>
    </row>
    <row r="6" ht="48" customHeight="1" spans="1:4">
      <c r="A6" s="9" t="s">
        <v>197</v>
      </c>
      <c r="B6" s="10" t="s">
        <v>198</v>
      </c>
    </row>
    <row r="7" ht="31.5" customHeight="1" spans="1:4">
      <c r="A7" s="9" t="s">
        <v>199</v>
      </c>
      <c r="B7" s="10" t="s">
        <v>27</v>
      </c>
    </row>
    <row r="8" ht="31.5" customHeight="1" spans="1:4">
      <c r="A8" s="9" t="s">
        <v>200</v>
      </c>
      <c r="B8" s="10" t="s">
        <v>28</v>
      </c>
    </row>
    <row r="9" ht="31.5" customHeight="1" spans="1:4">
      <c r="A9" s="9" t="s">
        <v>201</v>
      </c>
      <c r="B9" s="11">
        <v>46244.6875</v>
      </c>
    </row>
    <row r="10" ht="31.5" customHeight="1" spans="1:4">
      <c r="A10" s="9" t="s">
        <v>202</v>
      </c>
      <c r="B10" s="11">
        <v>46244.6958333333</v>
      </c>
    </row>
    <row r="11" ht="31.5" customHeight="1" spans="1:4">
      <c r="A11" s="9" t="s">
        <v>203</v>
      </c>
      <c r="B11" s="10" t="s">
        <v>40</v>
      </c>
    </row>
    <row r="12" ht="31.5" customHeight="1" spans="1:4">
      <c r="A12" s="9" t="s">
        <v>204</v>
      </c>
      <c r="B12" s="10" t="s">
        <v>40</v>
      </c>
    </row>
    <row r="13" ht="31.5" customHeight="1" spans="1:4">
      <c r="A13" s="9" t="s">
        <v>205</v>
      </c>
      <c r="B13" s="10" t="s">
        <v>40</v>
      </c>
    </row>
    <row r="14" ht="31.5" customHeight="1" spans="1:4">
      <c r="A14" s="9" t="s">
        <v>206</v>
      </c>
      <c r="B14" s="10" t="s">
        <v>40</v>
      </c>
    </row>
    <row r="15" ht="31.5" customHeight="1" spans="1:4">
      <c r="A15" s="9" t="s">
        <v>207</v>
      </c>
      <c r="B15" s="10" t="s">
        <v>40</v>
      </c>
    </row>
    <row r="16" ht="54" customHeight="1" spans="1:4">
      <c r="A16" s="9" t="s">
        <v>208</v>
      </c>
      <c r="B16" s="10" t="s">
        <v>209</v>
      </c>
    </row>
    <row r="17" ht="31.5" customHeight="1" spans="1:4">
      <c r="A17" s="9" t="s">
        <v>210</v>
      </c>
      <c r="B17" s="12" t="str">
        <f>IF(AND(B6&lt;&gt;"",B7&lt;&gt;"",B8&lt;&gt;"",B9&lt;&gt;"",B10&lt;&gt;"",B11="Yes",B12="Yes",B13="Yes",B14="Yes",B15="Yes",COUNTIF('Item Confirmation'!$I$7:$I$15,"PASS")=9),"PASS","PENDING")</f>
        <v>PASS</v>
      </c>
    </row>
    <row r="19" ht="42" customHeight="1" spans="1:4">
      <c r="A19" s="13" t="s">
        <v>211</v>
      </c>
      <c r="B19" s="13" t="s">
        <v>212</v>
      </c>
      <c r="C19" s="13" t="s">
        <v>143</v>
      </c>
      <c r="D19" s="13" t="s">
        <v>143</v>
      </c>
    </row>
  </sheetData>
  <mergeCells count="2">
    <mergeCell ref="A4:D4"/>
    <mergeCell ref="A1:D2"/>
  </mergeCells>
  <conditionalFormatting sqref="B17">
    <cfRule type="containsText" dxfId="1" priority="1" operator="between" text="PASS">
      <formula>NOT(ISERROR(SEARCH("PASS",B17)))</formula>
    </cfRule>
    <cfRule type="containsText" dxfId="2" priority="2" operator="between" text="PENDING">
      <formula>NOT(ISERROR(SEARCH("PENDING",B17)))</formula>
    </cfRule>
  </conditionalFormatting>
  <dataValidations count="2">
    <dataValidation type="list" sqref="B6">
      <formula1>"Joint coder discussion,Named third-party adjudication"</formula1>
    </dataValidation>
    <dataValidation type="list" sqref="B11:B15">
      <formula1>"Yes,No"</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
  <sheetViews>
    <sheetView showGridLines="0" workbookViewId="0">
      <selection activeCell="A1" sqref="A1:E2"/>
    </sheetView>
  </sheetViews>
  <sheetFormatPr defaultColWidth="9" defaultRowHeight="13.8" outlineLevelCol="4"/>
  <cols>
    <col min="1" max="1" width="31.1083333333333" customWidth="1"/>
    <col min="2" max="3" width="17.7833333333333" customWidth="1"/>
    <col min="4" max="4" width="13.3333333333333" customWidth="1"/>
    <col min="5" max="5" width="62.2166666666667" customWidth="1"/>
  </cols>
  <sheetData>
    <row r="1" spans="1:5">
      <c r="A1" s="1" t="s">
        <v>213</v>
      </c>
      <c r="B1" s="1"/>
      <c r="C1" s="1"/>
      <c r="D1" s="1"/>
      <c r="E1" s="1"/>
    </row>
    <row r="2" spans="1:5">
      <c r="A2" s="1"/>
      <c r="B2" s="1"/>
      <c r="C2" s="1"/>
      <c r="D2" s="1"/>
      <c r="E2" s="1"/>
    </row>
    <row r="4" spans="1:5">
      <c r="A4" s="2" t="s">
        <v>214</v>
      </c>
      <c r="B4" s="3"/>
      <c r="C4" s="3"/>
      <c r="D4" s="3"/>
      <c r="E4" s="4"/>
    </row>
    <row r="6" spans="1:5">
      <c r="A6" s="5" t="s">
        <v>26</v>
      </c>
      <c r="B6" s="5" t="s">
        <v>215</v>
      </c>
      <c r="C6" s="5" t="s">
        <v>216</v>
      </c>
      <c r="D6" s="5" t="s">
        <v>30</v>
      </c>
      <c r="E6" s="5" t="s">
        <v>31</v>
      </c>
    </row>
    <row r="7" ht="43.5" customHeight="1" spans="1:5">
      <c r="A7" s="6" t="s">
        <v>217</v>
      </c>
      <c r="B7" s="7" t="s">
        <v>218</v>
      </c>
      <c r="C7" s="7">
        <f>COUNTIF('Final Inventory'!$D$7:$D$114,"USED")</f>
        <v>46</v>
      </c>
      <c r="D7" s="8" t="str">
        <f>IF(AND(C7&gt;=9,C8=0),"PASS","PENDING")</f>
        <v>PASS</v>
      </c>
      <c r="E7" s="7" t="s">
        <v>219</v>
      </c>
    </row>
    <row r="8" ht="43.5" customHeight="1" spans="1:5">
      <c r="A8" s="6" t="s">
        <v>220</v>
      </c>
      <c r="B8" s="7">
        <v>0</v>
      </c>
      <c r="C8" s="7">
        <f>COUNTIF('Final Inventory'!$D$7:$D$114,"GAP")</f>
        <v>0</v>
      </c>
      <c r="D8" s="8" t="str">
        <f>IF(C8=0,"PASS","PENDING")</f>
        <v>PASS</v>
      </c>
      <c r="E8" s="7" t="s">
        <v>221</v>
      </c>
    </row>
    <row r="9" ht="43.5" customHeight="1" spans="1:5">
      <c r="A9" s="6" t="s">
        <v>222</v>
      </c>
      <c r="B9" s="7">
        <v>9</v>
      </c>
      <c r="C9" s="7">
        <f>COUNTIF('Item Confirmation'!$I$7:$I$15,"PASS")</f>
        <v>9</v>
      </c>
      <c r="D9" s="8" t="str">
        <f>IF(C9=9,"PASS","PENDING")</f>
        <v>PASS</v>
      </c>
      <c r="E9" s="7" t="s">
        <v>223</v>
      </c>
    </row>
    <row r="10" ht="43.5" customHeight="1" spans="1:5">
      <c r="A10" s="6" t="s">
        <v>224</v>
      </c>
      <c r="B10" s="7" t="s">
        <v>34</v>
      </c>
      <c r="C10" s="7" t="str">
        <f>IF(AND('Joint Sign-off'!$B$7&lt;&gt;"",'Joint Sign-off'!$B$8&lt;&gt;"",'Joint Sign-off'!$B$14="Yes",'Joint Sign-off'!$B$15="Yes"),"PASS","PENDING")</f>
        <v>PASS</v>
      </c>
      <c r="D10" s="8" t="str">
        <f>C10</f>
        <v>PASS</v>
      </c>
      <c r="E10" s="7" t="s">
        <v>225</v>
      </c>
    </row>
    <row r="11" ht="43.5" customHeight="1" spans="1:5">
      <c r="A11" s="6" t="s">
        <v>226</v>
      </c>
      <c r="B11" s="7" t="s">
        <v>34</v>
      </c>
      <c r="C11" s="7" t="str">
        <f>IF(AND('Joint Sign-off'!$B$11="Yes",'Joint Sign-off'!$B$12="Yes",'Joint Sign-off'!$B$13="Yes"),"PASS","PENDING")</f>
        <v>PASS</v>
      </c>
      <c r="D11" s="8" t="str">
        <f>C11</f>
        <v>PASS</v>
      </c>
      <c r="E11" s="7" t="s">
        <v>227</v>
      </c>
    </row>
    <row r="12" ht="43.5" customHeight="1" spans="1:5">
      <c r="A12" s="6" t="s">
        <v>228</v>
      </c>
      <c r="B12" s="7" t="s">
        <v>34</v>
      </c>
      <c r="C12" s="7" t="str">
        <f>'Joint Sign-off'!$B$17</f>
        <v>PASS</v>
      </c>
      <c r="D12" s="8" t="str">
        <f>C12</f>
        <v>PASS</v>
      </c>
      <c r="E12" s="7" t="s">
        <v>229</v>
      </c>
    </row>
  </sheetData>
  <mergeCells count="2">
    <mergeCell ref="A4:E4"/>
    <mergeCell ref="A1:E2"/>
  </mergeCells>
  <conditionalFormatting sqref="D7:D12">
    <cfRule type="containsText" dxfId="1" priority="1" operator="between" text="PASS">
      <formula>NOT(ISERROR(SEARCH("PASS",D7)))</formula>
    </cfRule>
    <cfRule type="containsText" dxfId="2" priority="2" operator="between" text="PENDING">
      <formula>NOT(ISERROR(SEARCH("PENDING",D7)))</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Start Here</vt:lpstr>
      <vt:lpstr>Return Audit</vt:lpstr>
      <vt:lpstr>Materials</vt:lpstr>
      <vt:lpstr>Boundary Review</vt:lpstr>
      <vt:lpstr>Final Inventory</vt:lpstr>
      <vt:lpstr>Item Confirmation</vt:lpstr>
      <vt:lpstr>Joint Sign-off</vt:lpstr>
      <vt:lpstr>QA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Edson</cp:lastModifiedBy>
  <dcterms:created xsi:type="dcterms:W3CDTF">2026-08-10T08:52:42Z</dcterms:created>
  <dcterms:modified xsi:type="dcterms:W3CDTF">2026-08-10T08:57:24Z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0B8C72DB55C14C73993C6FDC56584B07_12</vt:lpwstr>
  </property>
  <property fmtid="{D5CDD505-2E9C-101B-9397-08002B2CF9AE}" pid="3" name="KSOProductBuildVer">
    <vt:lpwstr>2052-12.1.0.28043</vt:lpwstr>
  </property>
  <property fmtid="{D5CDD505-2E9C-101B-9397-08002B2CF9AE}" pid="4" name="CalculationRule">
    <vt:i4>0</vt:i4>
  </property>
</Properties>
</file>