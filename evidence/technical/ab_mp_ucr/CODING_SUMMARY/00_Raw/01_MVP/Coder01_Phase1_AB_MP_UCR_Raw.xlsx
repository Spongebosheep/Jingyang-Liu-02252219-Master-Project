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BA2692D-6D56-45B9-8596-51F5424D23B4}" xr6:coauthVersionLast="47" xr6:coauthVersionMax="47" xr10:uidLastSave="{00000000-0000-0000-0000-000000000000}"/>
  <bookViews>
    <workbookView xWindow="-96" yWindow="0" windowWidth="15552" windowHeight="16656" firstSheet="1" activeTab="3" xr2:uid="{00000000-000D-0000-FFFF-FFFF00000000}"/>
  </bookViews>
  <sheets>
    <sheet name="Start Here" sheetId="1" r:id="rId1"/>
    <sheet name="A-B Coding" sheetId="2" r:id="rId2"/>
    <sheet name="MP Coding" sheetId="3" r:id="rId3"/>
    <sheet name="UCR Segmentation" sheetId="4" r:id="rId4"/>
    <sheet name="QA Rules" sheetId="5" r:id="rId5"/>
    <sheet name="Codebook" sheetId="6" r:id="rId6"/>
    <sheet name="QA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7" l="1"/>
  <c r="C24" i="7"/>
  <c r="B24" i="7"/>
  <c r="C23" i="7"/>
  <c r="D23" i="7" s="1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C17" i="7"/>
  <c r="D17" i="7" s="1"/>
  <c r="B17" i="7"/>
  <c r="C16" i="7"/>
  <c r="D16" i="7" s="1"/>
  <c r="C8" i="7" s="1"/>
  <c r="D8" i="7" s="1"/>
  <c r="B16" i="7"/>
  <c r="D11" i="7"/>
  <c r="C11" i="7"/>
  <c r="C10" i="7"/>
  <c r="D10" i="7" s="1"/>
  <c r="C9" i="7"/>
  <c r="D9" i="7" s="1"/>
  <c r="C7" i="7"/>
  <c r="D7" i="7" s="1"/>
  <c r="C6" i="7"/>
  <c r="D6" i="7" s="1"/>
  <c r="C5" i="7"/>
  <c r="D5" i="7" s="1"/>
  <c r="C4" i="7"/>
  <c r="D4" i="7" s="1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D12" i="7" l="1"/>
  <c r="B19" i="1" s="1"/>
</calcChain>
</file>

<file path=xl/sharedStrings.xml><?xml version="1.0" encoding="utf-8"?>
<sst xmlns="http://schemas.openxmlformats.org/spreadsheetml/2006/main" count="1154" uniqueCount="292">
  <si>
    <t>PurrStone v10.2 — Coder01 Phase 1 independent coding</t>
  </si>
  <si>
    <t>Complete every yellow field yourself. Identity/contact may be held separately by the administrator, but the workbook must retain a verifiable receipt code.</t>
  </si>
  <si>
    <t>Package build ID</t>
  </si>
  <si>
    <t>purrstone-v10.2-pre-coder-q2-r1-20260809</t>
  </si>
  <si>
    <t>Assigned coder ID</t>
  </si>
  <si>
    <t>Coder01</t>
  </si>
  <si>
    <t>Verifier identity/contact held separately by administrator?</t>
  </si>
  <si>
    <t>Yes</t>
  </si>
  <si>
    <t>Role / relevant research or qualitative-coding experience</t>
  </si>
  <si>
    <t>MSc Design Engineering graduate with experience in semi-structured interviews, basic qualitative coding, and checking AI-generated summaries against source material.</t>
  </si>
  <si>
    <t>Coding protocol read in full?</t>
  </si>
  <si>
    <t>I will work independently before consensus.</t>
  </si>
  <si>
    <t>I will not seek the condition/item identity key.</t>
  </si>
  <si>
    <t>Started at (ISO-8601 + timezone)</t>
  </si>
  <si>
    <t>Completed at (ISO-8601 + timezone)</t>
  </si>
  <si>
    <t>Typed name / pseudonymous signature</t>
  </si>
  <si>
    <t>Administrator-issued receipt code</t>
  </si>
  <si>
    <t>V102-P1-C01-K7M4</t>
  </si>
  <si>
    <t>Phase 1 formula QA</t>
  </si>
  <si>
    <t>Workflow boundary: this Phase 1 workbook contains formal A/B scoring, supplementary MP coding, and supplementary UCR proposition segmentation. UCR support labels are intentionally absent. After both segmentations are locked, a common blind inventory will be frozen and issued in separate Phase 2 label workbooks. Do not perform consensus or unblinding in this file.</t>
  </si>
  <si>
    <t>Part A — Formal blinded A/B output-quality coding (10 complete pairs)</t>
  </si>
  <si>
    <t>Scores: 1=very poor, 5=very strong. Q2 is scored only when at least one material contains a missing-information follow-up probe. It is prefilled N/A for ordinary primary questions, Skip/Stop handling, boundary responses, and pairs with no probe. Do not alter metadata or rule mapping.</t>
  </si>
  <si>
    <t>Review package ID</t>
  </si>
  <si>
    <t>Blind pair ID</t>
  </si>
  <si>
    <t>Coder ID</t>
  </si>
  <si>
    <t>Q2 mode</t>
  </si>
  <si>
    <t>Material file</t>
  </si>
  <si>
    <t>A Q1</t>
  </si>
  <si>
    <t>B Q1</t>
  </si>
  <si>
    <t>A Q2</t>
  </si>
  <si>
    <t>B Q2</t>
  </si>
  <si>
    <t>A Q3</t>
  </si>
  <si>
    <t>B Q3</t>
  </si>
  <si>
    <t>A Q4</t>
  </si>
  <si>
    <t>B Q4</t>
  </si>
  <si>
    <t>A Q5</t>
  </si>
  <si>
    <t>B Q5</t>
  </si>
  <si>
    <t>Overall preference</t>
  </si>
  <si>
    <t>Confidence</t>
  </si>
  <si>
    <t>Short rationale (≥10 chars)</t>
  </si>
  <si>
    <t>Issue flags JSON</t>
  </si>
  <si>
    <t>Completed at</t>
  </si>
  <si>
    <t>Row QA</t>
  </si>
  <si>
    <t>Rule-map QA</t>
  </si>
  <si>
    <t>BP-001</t>
  </si>
  <si>
    <t>BOTH_NA_REQUIRED</t>
  </si>
  <si>
    <t>materials/ab/pairs/BP-001.html</t>
  </si>
  <si>
    <t>N/A</t>
  </si>
  <si>
    <t>A</t>
  </si>
  <si>
    <t>Both remain within the design-research boundary and the evidence is fully grounded. A is stronger on participant control because the boundary response explicitly reminds the participant that Skip and Stop remain available.</t>
  </si>
  <si>
    <t>["B_control_reminder_less_explicit"]</t>
  </si>
  <si>
    <t>BP-002</t>
  </si>
  <si>
    <t>BOTH_SCORED_REQUIRED</t>
  </si>
  <si>
    <t>materials/ab/pairs/BP-002.html</t>
  </si>
  <si>
    <t>B's probe names both missing elements a little more directly, but A has the stronger overall flow: after the failed probe it actually asks the triggers question, whereas B moves on without asking it before the triggers answer appears.</t>
  </si>
  <si>
    <t>["B_transition_missing_trigger_question"]</t>
  </si>
  <si>
    <t>BP-003</t>
  </si>
  <si>
    <t>materials/ab/pairs/BP-003.html</t>
  </si>
  <si>
    <t>B</t>
  </si>
  <si>
    <t>The probe in A is slightly clearer about both missing experience details, but B is stronger overall because it explicitly asks the next protocol question. In A, a triggers response appears after a transition statement rather than a question.</t>
  </si>
  <si>
    <t>["A_transition_missing_trigger_question"]</t>
  </si>
  <si>
    <t>BP-004</t>
  </si>
  <si>
    <t>materials/ab/pairs/BP-004.html</t>
  </si>
  <si>
    <t>Tie</t>
  </si>
  <si>
    <t>Both cover the protocol and present the same traceable evidence. The extra acknowledgement in A changes the conversational tone but not coverage, grounding, control, or reviewability.</t>
  </si>
  <si>
    <t>[]</t>
  </si>
  <si>
    <t>BP-005</t>
  </si>
  <si>
    <t>materials/ab/pairs/BP-005.html</t>
  </si>
  <si>
    <t>I found no substantive difference across the applicable criteria. A is more conversational and B more concise, but both preserve the participant material and are equally easy to review.</t>
  </si>
  <si>
    <t>BP-006</t>
  </si>
  <si>
    <t>materials/ab/pairs/BP-006.html</t>
  </si>
  <si>
    <t>Both correctly refuse the diagnostic and medication request and keep the evidence grounded. A gives clearer participant control by repeating the option to Skip or Stop before returning to the lived-experience question.</t>
  </si>
  <si>
    <t>BP-007</t>
  </si>
  <si>
    <t>materials/ab/pairs/BP-007.html</t>
  </si>
  <si>
    <t>Both probes are neutral and successful. I slightly prefer A's wording because it separately asks what happened and why it felt overwhelming, which maps more transparently to the two missing requirements.</t>
  </si>
  <si>
    <t>BP-008</t>
  </si>
  <si>
    <t>materials/ab/pairs/BP-008.html</t>
  </si>
  <si>
    <t>Both versions obtain the missing experience detail and then complete the protocol. A's probe makes the two missing elements a little more explicit, so I gave it a small Q2 edge; the remaining evidence is effectively equivalent.</t>
  </si>
  <si>
    <t>BP-009</t>
  </si>
  <si>
    <t>materials/ab/pairs/BP-009.html</t>
  </si>
  <si>
    <t>Both respect Stop immediately. A leaves a more inspectable record by identifying the four unassessed trigger/sign fields, while B records the stop but leaves those missing fields unspecified.</t>
  </si>
  <si>
    <t>["B_stopped_topic_missing_fields_not_listed"]</t>
  </si>
  <si>
    <t>BP-010</t>
  </si>
  <si>
    <t>materials/ab/pairs/BP-010.html</t>
  </si>
  <si>
    <t>B is materially clearer on participant control. A records a second Skip under Triggers &amp; signs and then immediately contains a triggers response, creating a contradiction in the control history; B has no such inconsistency.</t>
  </si>
  <si>
    <t>["A_conflicting_skip_record"]</t>
  </si>
  <si>
    <t>Part B — Supplementary Meaning Preservation coding (9 blind items)</t>
  </si>
  <si>
    <t>Compare final reviewed evidence with the displayed participant source. This is a supplementary contract-clarification analysis; it is not a completed formal primary result.</t>
  </si>
  <si>
    <t>Blind item ID</t>
  </si>
  <si>
    <t>Topic</t>
  </si>
  <si>
    <t>MP label</t>
  </si>
  <si>
    <t>Error category</t>
  </si>
  <si>
    <t>Source-based rationale (≥10 chars)</t>
  </si>
  <si>
    <t>SF-001</t>
  </si>
  <si>
    <t>materials/mp_ucr/items/SF-001.html</t>
  </si>
  <si>
    <t>Triggers Signs</t>
  </si>
  <si>
    <t>preserved</t>
  </si>
  <si>
    <t>none</t>
  </si>
  <si>
    <t>The final evidence retains the three stated triggers, both bodily reactions, and panic without adding or dropping substantive meaning.</t>
  </si>
  <si>
    <t>SF-002</t>
  </si>
  <si>
    <t>materials/mp_ucr/items/SF-002.html</t>
  </si>
  <si>
    <t>Coping Support</t>
  </si>
  <si>
    <t>The three coping actions, both forms of support that might have helped, and the reason repeated announcements were unhelpful are all retained.</t>
  </si>
  <si>
    <t>SF-003</t>
  </si>
  <si>
    <t>materials/mp_ucr/items/SF-003.html</t>
  </si>
  <si>
    <t>Support Concept Reaction</t>
  </si>
  <si>
    <t>Squeeze, haptic pacing, the scent concern, and the requirement that features remain optional all preserve the participant's qualifications.</t>
  </si>
  <si>
    <t>SF-004</t>
  </si>
  <si>
    <t>materials/mp_ucr/items/SF-004.html</t>
  </si>
  <si>
    <t>This is a direct source extract; no substantive content or qualification has been added, removed, or contradicted.</t>
  </si>
  <si>
    <t>SF-005</t>
  </si>
  <si>
    <t>materials/mp_ucr/items/SF-005.html</t>
  </si>
  <si>
    <t>The trigger list and the participant's shoulder, heart, and panic responses match the source directly.</t>
  </si>
  <si>
    <t>SF-006</t>
  </si>
  <si>
    <t>materials/mp_ucr/items/SF-006.html</t>
  </si>
  <si>
    <t>The wording keeps the tentative usefulness of squeeze and haptics, the avoidance of scent, its trigger risk, and the preference for optional features.</t>
  </si>
  <si>
    <t>SF-007</t>
  </si>
  <si>
    <t>materials/mp_ucr/items/SF-007.html</t>
  </si>
  <si>
    <t>Public Use Acceptability</t>
  </si>
  <si>
    <t>The commuting conditions, embarrassment about visible lights, and concern about scent affecting nearby people in a shared space are all preserved.</t>
  </si>
  <si>
    <t>SF-008</t>
  </si>
  <si>
    <t>materials/mp_ucr/items/SF-008.html</t>
  </si>
  <si>
    <t>Experience</t>
  </si>
  <si>
    <t>not_preserved</t>
  </si>
  <si>
    <t>other</t>
  </si>
  <si>
    <t>The episode remains recognisable, but the final text adds the label 'sensory overload', attributes the trapped/overwhelmed feeling to alarms as well as noise and crowding, and omits that the carriage stopped between stations.</t>
  </si>
  <si>
    <t>SF-009</t>
  </si>
  <si>
    <t>materials/mp_ucr/items/SF-009.html</t>
  </si>
  <si>
    <t>The public-use evidence is a direct extract and retains the participant's conditions and concerns without changing attribution or qualification.</t>
  </si>
  <si>
    <t>Part C — Supplementary UCR Phase 1: independent proposition segmentation</t>
  </si>
  <si>
    <t>Enter the smallest independently supportable factual/experiential propositions. Start at 1, continue without gaps, and leave unused reserve rows fully blank. Do not label supported/unsupported in Phase 1.</t>
  </si>
  <si>
    <t>Proposition index</t>
  </si>
  <si>
    <t>Atomic proposition</t>
  </si>
  <si>
    <t>Sharp braking noise was one of the participant's strongest triggers.</t>
  </si>
  <si>
    <t>Flashing carriage lights were one of the participant's strongest triggers.</t>
  </si>
  <si>
    <t>Crowding was one of the participant's strongest triggers.</t>
  </si>
  <si>
    <t>The participant's shoulders tightened.</t>
  </si>
  <si>
    <t>The participant's heart raced.</t>
  </si>
  <si>
    <t>The participant felt panicked.</t>
  </si>
  <si>
    <t>The participant covered their ears.</t>
  </si>
  <si>
    <t>The participant focused on slow breathing.</t>
  </si>
  <si>
    <t>The participant left at the next stop.</t>
  </si>
  <si>
    <t>A quieter carriage would have helped the participant.</t>
  </si>
  <si>
    <t>A warning before the alarm would have helped the participant.</t>
  </si>
  <si>
    <t>The repeated announcements did not help the participant.</t>
  </si>
  <si>
    <t>The repeated announcements added more noise.</t>
  </si>
  <si>
    <t>The squeeze interaction seemed useful to the participant.</t>
  </si>
  <si>
    <t>The squeeze interaction would give the participant's hands a focus.</t>
  </si>
  <si>
    <t>Gentle haptics might help the participant pace their breathing.</t>
  </si>
  <si>
    <t>The participant would avoid scent.</t>
  </si>
  <si>
    <t>Scent could be another trigger for the participant.</t>
  </si>
  <si>
    <t>The participant wanted every feature to be optional.</t>
  </si>
  <si>
    <t>Covering their ears was one action the participant took.</t>
  </si>
  <si>
    <t>They concentrated on breathing slowly.</t>
  </si>
  <si>
    <t>They left at the following stop.</t>
  </si>
  <si>
    <t>The participant thought a quieter carriage would have helped.</t>
  </si>
  <si>
    <t>They thought advance warning of the alarm would have helped.</t>
  </si>
  <si>
    <t>The repeated announcements were not helpful.</t>
  </si>
  <si>
    <t>The announcements created additional noise.</t>
  </si>
  <si>
    <t>The participant identified sharp braking noise as one of the strongest triggers.</t>
  </si>
  <si>
    <t>They identified flashing carriage lights as one of the strongest triggers.</t>
  </si>
  <si>
    <t>They identified crowding as one of the strongest triggers.</t>
  </si>
  <si>
    <t>Their shoulders tightened.</t>
  </si>
  <si>
    <t>Their heart raced.</t>
  </si>
  <si>
    <t>They experienced panic.</t>
  </si>
  <si>
    <t>The participant saw the squeeze interaction as potentially useful.</t>
  </si>
  <si>
    <t>They expected squeezing it to give their hands a focus.</t>
  </si>
  <si>
    <t>They thought gentle haptics might help pace their breathing.</t>
  </si>
  <si>
    <t>They would stay away from scent.</t>
  </si>
  <si>
    <t>They regarded scent as a possible additional trigger.</t>
  </si>
  <si>
    <t>They wanted all features to remain optional.</t>
  </si>
  <si>
    <t>The participant might use the object while commuting.</t>
  </si>
  <si>
    <t>Looking discreet was a condition for possible commuting use.</t>
  </si>
  <si>
    <t>Making no sound was also a condition for possible commuting use.</t>
  </si>
  <si>
    <t>Obvious lights would embarrass the participant.</t>
  </si>
  <si>
    <t>Scent would be a concern for people nearby in a shared space.</t>
  </si>
  <si>
    <t>The described experience took place on a crowded train.</t>
  </si>
  <si>
    <t>The participant described the experience as sensory overload.</t>
  </si>
  <si>
    <t>Alarms, noise, and crowding were presented as reasons the participant felt trapped.</t>
  </si>
  <si>
    <t>Alarms, noise, and crowding were presented as reasons the participant felt overwhelmed.</t>
  </si>
  <si>
    <t>The participant would consider using the object during a commute.</t>
  </si>
  <si>
    <t>They would only consider this if the object looked discreet.</t>
  </si>
  <si>
    <t>They would also want it to make no sound.</t>
  </si>
  <si>
    <t>Visible lights would make them feel embarrassed.</t>
  </si>
  <si>
    <t>They were concerned about scent around other people in a shared setting.</t>
  </si>
  <si>
    <t>Transparent QA rule registry — exact ID lookup, no relative-row assumption</t>
  </si>
  <si>
    <t>Rule ID</t>
  </si>
  <si>
    <t>Blind ID</t>
  </si>
  <si>
    <t>Applicability / label set</t>
  </si>
  <si>
    <t>Data sheet</t>
  </si>
  <si>
    <t>Data row</t>
  </si>
  <si>
    <t>Rule source</t>
  </si>
  <si>
    <t>AB-001</t>
  </si>
  <si>
    <t>A-B Coding</t>
  </si>
  <si>
    <t>quality_review.v2</t>
  </si>
  <si>
    <t>AB-002</t>
  </si>
  <si>
    <t>AB-003</t>
  </si>
  <si>
    <t>AB-004</t>
  </si>
  <si>
    <t>AB-005</t>
  </si>
  <si>
    <t>AB-006</t>
  </si>
  <si>
    <t>AB-007</t>
  </si>
  <si>
    <t>AB-008</t>
  </si>
  <si>
    <t>AB-009</t>
  </si>
  <si>
    <t>AB-010</t>
  </si>
  <si>
    <t>MP item rules</t>
  </si>
  <si>
    <t>Allowed labels</t>
  </si>
  <si>
    <t>MP-001</t>
  </si>
  <si>
    <t>preserved | not_preserved | uncertain</t>
  </si>
  <si>
    <t>MP Coding</t>
  </si>
  <si>
    <t>metrics.v3 supplementary clarification</t>
  </si>
  <si>
    <t>MP-002</t>
  </si>
  <si>
    <t>MP-003</t>
  </si>
  <si>
    <t>MP-004</t>
  </si>
  <si>
    <t>MP-005</t>
  </si>
  <si>
    <t>MP-006</t>
  </si>
  <si>
    <t>MP-007</t>
  </si>
  <si>
    <t>MP-008</t>
  </si>
  <si>
    <t>MP-009</t>
  </si>
  <si>
    <t>Legacy defect prevented: the former distributed workbook mapped the first score row to the QA header and shifted every pair by one. This workbook uses explicit absolute rule rows: A-B data rows 6–15 map to QA Rules rows 3–12; MP data rows 6–14 map to QA Rules rows 16–24. The external validator independently checks IDs and applicability without trusting cached formulas.</t>
  </si>
  <si>
    <t>PurrStone v10.2 coder codebook</t>
  </si>
  <si>
    <t>Record</t>
  </si>
  <si>
    <t>Field / label</t>
  </si>
  <si>
    <t>Operational definition</t>
  </si>
  <si>
    <t>Common error to avoid</t>
  </si>
  <si>
    <t>A/B</t>
  </si>
  <si>
    <t>Q1 Protocol coverage (1–5)</t>
  </si>
  <si>
    <t>Judge how well the displayed transcript/draft addresses the required information in the common Protocol reference.</t>
  </si>
  <si>
    <t>Do not accept the system's displayed coverage state as ground truth.</t>
  </si>
  <si>
    <t>Q2 Probing relevance &amp; neutrality (1–5 or pair-level N/A)</t>
  </si>
  <si>
    <t>Judge a follow-up asked to obtain missing required information: whether it targets the gap, is concise, and is not leading.</t>
  </si>
  <si>
    <t>Use pair-level N/A when neither side has such a probe. Ordinary primary questions, Skip/Stop handling, and boundary responses are not Q2 probes.</t>
  </si>
  <si>
    <t>Q3 Transcript grounding &amp; fidelity (1–5)</t>
  </si>
  <si>
    <t>Judge whether draft evidence is supported by displayed participant sources and preserves meaning.</t>
  </si>
  <si>
    <t>A valid source link does not automatically imply semantic fidelity.</t>
  </si>
  <si>
    <t>Q4 Participant clarity &amp; control (1–5)</t>
  </si>
  <si>
    <t>Judge clarity of questions, Skip/Stop, boundary and missing-information handling.</t>
  </si>
  <si>
    <t>Judge participant-facing material, not hidden implementation intent.</t>
  </si>
  <si>
    <t>Q5 Researcher reviewability (1–5)</t>
  </si>
  <si>
    <t>Judge whether a researcher can inspect evidence, sources, limitations and decide Include/Edit/Exclude.</t>
  </si>
  <si>
    <t>Do not substitute aesthetic preference for auditability.</t>
  </si>
  <si>
    <t>A, B or Tie based on the whole displayed material; it need not mechanically equal a score sum.</t>
  </si>
  <si>
    <t>Do not infer system identity.</t>
  </si>
  <si>
    <t>MP</t>
  </si>
  <si>
    <t>No material meaning, qualification, uncertainty or attribution is added, removed, contradicted or changed.</t>
  </si>
  <si>
    <t>Surface paraphrase alone is not a meaning error.</t>
  </si>
  <si>
    <t>At least one material meaning, qualification, uncertainty or attribution is added, removed, contradicted or changed.</t>
  </si>
  <si>
    <t>Identify the source-based error category and explain it.</t>
  </si>
  <si>
    <t>uncertain</t>
  </si>
  <si>
    <t>Displayed evidence is genuinely insufficient to determine preservation confidently.</t>
  </si>
  <si>
    <t>Do not use merely because the decision is difficult.</t>
  </si>
  <si>
    <t>UCR Phase 1</t>
  </si>
  <si>
    <t>atomic proposition</t>
  </si>
  <si>
    <t>Smallest factual or experiential assertion that can be supported or contradicted independently.</t>
  </si>
  <si>
    <t>Do not label support yet; do not include interface labels or pure stylistic framing.</t>
  </si>
  <si>
    <t>UCR Phase 2</t>
  </si>
  <si>
    <t>supported</t>
  </si>
  <si>
    <t>Displayed participant source directly entails or clearly paraphrases the frozen proposition.</t>
  </si>
  <si>
    <t>Outside knowledge cannot rescue missing support.</t>
  </si>
  <si>
    <t>unsupported</t>
  </si>
  <si>
    <t>Proposition adds, contradicts, or cannot be grounded in the displayed participant source.</t>
  </si>
  <si>
    <t>Phase 2 starts only after a common inventory is frozen.</t>
  </si>
  <si>
    <t>Formula QA summary — external validation remains authoritative</t>
  </si>
  <si>
    <t>Check</t>
  </si>
  <si>
    <t>Expected</t>
  </si>
  <si>
    <t>Observed</t>
  </si>
  <si>
    <t>Status</t>
  </si>
  <si>
    <t>Interpretation</t>
  </si>
  <si>
    <t>A/B complete rows</t>
  </si>
  <si>
    <t>All ten formal pair rows require scores, preference, rationale, JSON flags and timestamp.</t>
  </si>
  <si>
    <t>A/B exact rule mappings</t>
  </si>
  <si>
    <t>Each public BP ID must match its exact QA rule row.</t>
  </si>
  <si>
    <t>MP complete rows</t>
  </si>
  <si>
    <t>All nine supplementary items require an MP label, category, rationale, confidence and timestamp.</t>
  </si>
  <si>
    <t>MP exact rule mappings</t>
  </si>
  <si>
    <t>Each blind item ID must match its exact QA rule row.</t>
  </si>
  <si>
    <t>UCR items segmented</t>
  </si>
  <si>
    <t>Every item requires at least one proposition.</t>
  </si>
  <si>
    <t>UCR partial rows</t>
  </si>
  <si>
    <t>No used proposition row may have missing text or timestamp.</t>
  </si>
  <si>
    <t>Coder/declaration fields</t>
  </si>
  <si>
    <t>PASS</t>
  </si>
  <si>
    <t>Identity/receipt and independence declarations are required.</t>
  </si>
  <si>
    <t>Q2 pair-level N/A modes</t>
  </si>
  <si>
    <t>Exactly six pairs have no missing-information probe on either side and must retain N/A for both Q2 cells.</t>
  </si>
  <si>
    <t>Overall Phase 1 formula QA</t>
  </si>
  <si>
    <t>Blind item</t>
  </si>
  <si>
    <t>Used propositions</t>
  </si>
  <si>
    <t>Partial rows</t>
  </si>
  <si>
    <t>Item QA</t>
  </si>
  <si>
    <t>Phase</t>
  </si>
  <si>
    <t>UCR Phase 1 segmentation</t>
  </si>
  <si>
    <t>Coder01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</si>
</sst>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&quot;T&quot;hh:mm:ss&quot;+08:00&quot;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7232D"/>
      <name val="Carlito"/>
    </font>
    <font>
      <sz val="11"/>
      <color rgb="FF17232D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43A52"/>
      </patternFill>
    </fill>
    <fill>
      <patternFill patternType="solid">
        <fgColor rgb="FFFFF3D6"/>
      </patternFill>
    </fill>
    <fill>
      <patternFill patternType="solid">
        <fgColor rgb="FFEAF3F6"/>
      </patternFill>
    </fill>
    <fill>
      <patternFill patternType="solid">
        <fgColor rgb="FFE9EEF1"/>
      </patternFill>
    </fill>
    <fill>
      <patternFill patternType="solid">
        <fgColor rgb="FFFFFDF4"/>
      </patternFill>
    </fill>
    <fill>
      <patternFill patternType="solid">
        <fgColor rgb="FF287D8E"/>
      </patternFill>
    </fill>
  </fills>
  <borders count="19">
    <border>
      <left/>
      <right/>
      <top/>
      <bottom/>
      <diagonal/>
    </border>
    <border>
      <left style="thin">
        <color rgb="FFB7C7CF"/>
      </left>
      <right style="thin">
        <color rgb="FFB7C7CF"/>
      </right>
      <top style="thin">
        <color rgb="FFB7C7CF"/>
      </top>
      <bottom style="thin">
        <color rgb="FFB7C7CF"/>
      </bottom>
      <diagonal/>
    </border>
    <border>
      <left style="thin">
        <color rgb="FFD4DEE3"/>
      </left>
      <right style="thin">
        <color rgb="FFD4DEE3"/>
      </right>
      <top style="thin">
        <color rgb="FFD4DEE3"/>
      </top>
      <bottom style="thin">
        <color rgb="FFD4DEE3"/>
      </bottom>
      <diagonal/>
    </border>
    <border>
      <left style="thin">
        <color rgb="FFA7BAC3"/>
      </left>
      <right/>
      <top style="thin">
        <color rgb="FFA7BAC3"/>
      </top>
      <bottom/>
      <diagonal/>
    </border>
    <border>
      <left/>
      <right/>
      <top style="thin">
        <color rgb="FFA7BAC3"/>
      </top>
      <bottom/>
      <diagonal/>
    </border>
    <border>
      <left/>
      <right style="thin">
        <color rgb="FFA7BAC3"/>
      </right>
      <top style="thin">
        <color rgb="FFA7BAC3"/>
      </top>
      <bottom/>
      <diagonal/>
    </border>
    <border>
      <left style="thin">
        <color rgb="FFA7BAC3"/>
      </left>
      <right/>
      <top/>
      <bottom/>
      <diagonal/>
    </border>
    <border>
      <left/>
      <right style="thin">
        <color rgb="FFA7BAC3"/>
      </right>
      <top/>
      <bottom/>
      <diagonal/>
    </border>
    <border>
      <left style="thin">
        <color rgb="FFA7BAC3"/>
      </left>
      <right/>
      <top/>
      <bottom style="thin">
        <color rgb="FFA7BAC3"/>
      </bottom>
      <diagonal/>
    </border>
    <border>
      <left/>
      <right/>
      <top/>
      <bottom style="thin">
        <color rgb="FFA7BAC3"/>
      </bottom>
      <diagonal/>
    </border>
    <border>
      <left/>
      <right style="thin">
        <color rgb="FFA7BAC3"/>
      </right>
      <top/>
      <bottom style="thin">
        <color rgb="FFA7BAC3"/>
      </bottom>
      <diagonal/>
    </border>
    <border>
      <left style="thin">
        <color rgb="FFC59B36"/>
      </left>
      <right/>
      <top style="thin">
        <color rgb="FFC59B36"/>
      </top>
      <bottom/>
      <diagonal/>
    </border>
    <border>
      <left/>
      <right/>
      <top style="thin">
        <color rgb="FFC59B36"/>
      </top>
      <bottom/>
      <diagonal/>
    </border>
    <border>
      <left/>
      <right style="thin">
        <color rgb="FFC59B36"/>
      </right>
      <top style="thin">
        <color rgb="FFC59B36"/>
      </top>
      <bottom/>
      <diagonal/>
    </border>
    <border>
      <left style="thin">
        <color rgb="FFC59B36"/>
      </left>
      <right/>
      <top/>
      <bottom/>
      <diagonal/>
    </border>
    <border>
      <left/>
      <right style="thin">
        <color rgb="FFC59B36"/>
      </right>
      <top/>
      <bottom/>
      <diagonal/>
    </border>
    <border>
      <left style="thin">
        <color rgb="FFC59B36"/>
      </left>
      <right/>
      <top/>
      <bottom style="thin">
        <color rgb="FFC59B36"/>
      </bottom>
      <diagonal/>
    </border>
    <border>
      <left/>
      <right/>
      <top/>
      <bottom style="thin">
        <color rgb="FFC59B36"/>
      </bottom>
      <diagonal/>
    </border>
    <border>
      <left/>
      <right style="thin">
        <color rgb="FFC59B36"/>
      </right>
      <top/>
      <bottom style="thin">
        <color rgb="FFC59B36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2" fillId="4" borderId="1" xfId="1" applyFont="1" applyFill="1" applyBorder="1" applyAlignment="1">
      <alignment vertical="center" wrapText="1"/>
    </xf>
    <xf numFmtId="0" fontId="0" fillId="3" borderId="2" xfId="1" applyFont="1" applyFill="1" applyBorder="1" applyAlignment="1">
      <alignment vertical="top" wrapText="1"/>
    </xf>
    <xf numFmtId="0" fontId="2" fillId="5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top" wrapText="1"/>
    </xf>
    <xf numFmtId="0" fontId="0" fillId="6" borderId="2" xfId="1" applyFont="1" applyFill="1" applyBorder="1" applyAlignment="1">
      <alignment vertical="top" wrapText="1"/>
    </xf>
    <xf numFmtId="0" fontId="0" fillId="5" borderId="2" xfId="1" applyFont="1" applyFill="1" applyBorder="1" applyAlignment="1">
      <alignment vertical="top" wrapText="1"/>
    </xf>
    <xf numFmtId="0" fontId="0" fillId="4" borderId="2" xfId="1" applyFont="1" applyFill="1" applyBorder="1" applyAlignment="1">
      <alignment vertical="top" wrapText="1"/>
    </xf>
    <xf numFmtId="176" fontId="0" fillId="3" borderId="2" xfId="1" applyNumberFormat="1" applyFont="1" applyFill="1" applyBorder="1" applyAlignment="1">
      <alignment vertical="top" wrapText="1"/>
    </xf>
    <xf numFmtId="176" fontId="0" fillId="6" borderId="2" xfId="1" applyNumberFormat="1" applyFont="1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3" fillId="4" borderId="3" xfId="1" applyFont="1" applyFill="1" applyBorder="1" applyAlignment="1">
      <alignment vertical="top" wrapText="1"/>
    </xf>
    <xf numFmtId="0" fontId="3" fillId="4" borderId="4" xfId="1" applyFont="1" applyFill="1" applyBorder="1" applyAlignment="1">
      <alignment vertical="top" wrapText="1"/>
    </xf>
    <xf numFmtId="0" fontId="3" fillId="4" borderId="5" xfId="1" applyFont="1" applyFill="1" applyBorder="1" applyAlignment="1">
      <alignment vertical="top" wrapText="1"/>
    </xf>
    <xf numFmtId="0" fontId="3" fillId="4" borderId="6" xfId="1" applyFont="1" applyFill="1" applyBorder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3" fillId="4" borderId="7" xfId="1" applyFont="1" applyFill="1" applyBorder="1" applyAlignment="1">
      <alignment vertical="top" wrapText="1"/>
    </xf>
    <xf numFmtId="0" fontId="3" fillId="4" borderId="8" xfId="1" applyFont="1" applyFill="1" applyBorder="1" applyAlignment="1">
      <alignment vertical="top" wrapText="1"/>
    </xf>
    <xf numFmtId="0" fontId="3" fillId="4" borderId="9" xfId="1" applyFont="1" applyFill="1" applyBorder="1" applyAlignment="1">
      <alignment vertical="top" wrapText="1"/>
    </xf>
    <xf numFmtId="0" fontId="3" fillId="4" borderId="10" xfId="1" applyFont="1" applyFill="1" applyBorder="1" applyAlignment="1">
      <alignment vertical="top" wrapText="1"/>
    </xf>
    <xf numFmtId="0" fontId="4" fillId="3" borderId="0" xfId="1" applyFont="1" applyFill="1" applyAlignment="1">
      <alignment wrapText="1"/>
    </xf>
    <xf numFmtId="0" fontId="5" fillId="7" borderId="0" xfId="1" applyFont="1" applyFill="1" applyAlignment="1">
      <alignment vertical="center"/>
    </xf>
    <xf numFmtId="0" fontId="0" fillId="3" borderId="11" xfId="1" applyFont="1" applyFill="1" applyBorder="1" applyAlignment="1">
      <alignment vertical="top" wrapText="1"/>
    </xf>
    <xf numFmtId="0" fontId="0" fillId="3" borderId="12" xfId="1" applyFont="1" applyFill="1" applyBorder="1" applyAlignment="1">
      <alignment vertical="top" wrapText="1"/>
    </xf>
    <xf numFmtId="0" fontId="0" fillId="3" borderId="13" xfId="1" applyFont="1" applyFill="1" applyBorder="1" applyAlignment="1">
      <alignment vertical="top" wrapText="1"/>
    </xf>
    <xf numFmtId="0" fontId="0" fillId="3" borderId="14" xfId="1" applyFont="1" applyFill="1" applyBorder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3" borderId="15" xfId="1" applyFont="1" applyFill="1" applyBorder="1" applyAlignment="1">
      <alignment vertical="top" wrapText="1"/>
    </xf>
    <xf numFmtId="0" fontId="0" fillId="3" borderId="16" xfId="1" applyFont="1" applyFill="1" applyBorder="1" applyAlignment="1">
      <alignment vertical="top" wrapText="1"/>
    </xf>
    <xf numFmtId="0" fontId="0" fillId="3" borderId="17" xfId="1" applyFont="1" applyFill="1" applyBorder="1" applyAlignment="1">
      <alignment vertical="top" wrapText="1"/>
    </xf>
    <xf numFmtId="0" fontId="0" fillId="3" borderId="18" xfId="1" applyFont="1" applyFill="1" applyBorder="1" applyAlignment="1">
      <alignment vertical="top" wrapText="1"/>
    </xf>
    <xf numFmtId="0" fontId="2" fillId="3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8"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  <dxf>
      <font>
        <b/>
        <color rgb="FF7F1D1D"/>
      </font>
      <fill>
        <patternFill>
          <bgColor rgb="FFF8DDDD"/>
        </patternFill>
      </fill>
    </dxf>
    <dxf>
      <font>
        <b/>
        <color rgb="FF7A4B00"/>
      </font>
      <fill>
        <patternFill>
          <bgColor rgb="FFFFF3D6"/>
        </patternFill>
      </fill>
    </dxf>
    <dxf>
      <font>
        <b/>
        <color rgb="FF14532D"/>
      </font>
      <fill>
        <patternFill>
          <bgColor rgb="FFDDF2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activeCell="B27" sqref="B27"/>
    </sheetView>
  </sheetViews>
  <sheetFormatPr defaultRowHeight="13.8"/>
  <cols>
    <col min="1" max="1" width="42" customWidth="1"/>
    <col min="2" max="2" width="50" customWidth="1"/>
    <col min="3" max="8" width="12" customWidth="1"/>
  </cols>
  <sheetData>
    <row r="1" spans="1:8" ht="31.95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</row>
    <row r="2" spans="1:8" ht="31.95" customHeight="1">
      <c r="A2" s="10" t="s">
        <v>0</v>
      </c>
      <c r="B2" s="10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</row>
    <row r="4" spans="1:8">
      <c r="A4" s="11" t="s">
        <v>1</v>
      </c>
      <c r="B4" s="11" t="s">
        <v>1</v>
      </c>
      <c r="C4" s="11" t="s">
        <v>1</v>
      </c>
      <c r="D4" s="11" t="s">
        <v>1</v>
      </c>
      <c r="E4" s="11" t="s">
        <v>1</v>
      </c>
      <c r="F4" s="11" t="s">
        <v>1</v>
      </c>
      <c r="G4" s="11" t="s">
        <v>1</v>
      </c>
      <c r="H4" s="11" t="s">
        <v>1</v>
      </c>
    </row>
    <row r="6" spans="1:8">
      <c r="A6" s="1" t="s">
        <v>2</v>
      </c>
      <c r="B6" s="2" t="s">
        <v>3</v>
      </c>
    </row>
    <row r="7" spans="1:8">
      <c r="A7" s="1" t="s">
        <v>4</v>
      </c>
      <c r="B7" s="2" t="s">
        <v>5</v>
      </c>
    </row>
    <row r="8" spans="1:8" ht="27.6">
      <c r="A8" s="1" t="s">
        <v>6</v>
      </c>
      <c r="B8" s="2" t="s">
        <v>7</v>
      </c>
    </row>
    <row r="9" spans="1:8" ht="41.4">
      <c r="A9" s="1" t="s">
        <v>8</v>
      </c>
      <c r="B9" s="2" t="s">
        <v>9</v>
      </c>
    </row>
    <row r="10" spans="1:8">
      <c r="A10" s="1" t="s">
        <v>10</v>
      </c>
      <c r="B10" s="2" t="s">
        <v>7</v>
      </c>
    </row>
    <row r="11" spans="1:8">
      <c r="A11" s="1" t="s">
        <v>11</v>
      </c>
      <c r="B11" s="2" t="s">
        <v>7</v>
      </c>
    </row>
    <row r="12" spans="1:8">
      <c r="A12" s="1" t="s">
        <v>12</v>
      </c>
      <c r="B12" s="2" t="s">
        <v>7</v>
      </c>
    </row>
    <row r="13" spans="1:8">
      <c r="A13" s="1" t="s">
        <v>13</v>
      </c>
      <c r="B13" s="8">
        <v>46243.564826388894</v>
      </c>
    </row>
    <row r="14" spans="1:8">
      <c r="A14" s="1" t="s">
        <v>14</v>
      </c>
      <c r="B14" s="8">
        <v>46243.634884259263</v>
      </c>
    </row>
    <row r="15" spans="1:8">
      <c r="A15" s="1" t="s">
        <v>15</v>
      </c>
      <c r="B15" s="2" t="s">
        <v>291</v>
      </c>
    </row>
    <row r="16" spans="1:8">
      <c r="A16" s="1" t="s">
        <v>16</v>
      </c>
      <c r="B16" s="2" t="s">
        <v>17</v>
      </c>
    </row>
    <row r="19" spans="1:8">
      <c r="A19" s="3" t="s">
        <v>18</v>
      </c>
      <c r="B19" s="3" t="str">
        <f>'QA Summary'!D12</f>
        <v>PASS</v>
      </c>
    </row>
    <row r="21" spans="1:8">
      <c r="A21" s="12" t="s">
        <v>19</v>
      </c>
      <c r="B21" s="13" t="s">
        <v>19</v>
      </c>
      <c r="C21" s="13" t="s">
        <v>19</v>
      </c>
      <c r="D21" s="13" t="s">
        <v>19</v>
      </c>
      <c r="E21" s="13" t="s">
        <v>19</v>
      </c>
      <c r="F21" s="13" t="s">
        <v>19</v>
      </c>
      <c r="G21" s="13" t="s">
        <v>19</v>
      </c>
      <c r="H21" s="14" t="s">
        <v>19</v>
      </c>
    </row>
    <row r="22" spans="1:8">
      <c r="A22" s="15" t="s">
        <v>19</v>
      </c>
      <c r="B22" s="16" t="s">
        <v>19</v>
      </c>
      <c r="C22" s="16" t="s">
        <v>19</v>
      </c>
      <c r="D22" s="16" t="s">
        <v>19</v>
      </c>
      <c r="E22" s="16" t="s">
        <v>19</v>
      </c>
      <c r="F22" s="16" t="s">
        <v>19</v>
      </c>
      <c r="G22" s="16" t="s">
        <v>19</v>
      </c>
      <c r="H22" s="17" t="s">
        <v>19</v>
      </c>
    </row>
    <row r="23" spans="1:8">
      <c r="A23" s="15" t="s">
        <v>19</v>
      </c>
      <c r="B23" s="16" t="s">
        <v>19</v>
      </c>
      <c r="C23" s="16" t="s">
        <v>19</v>
      </c>
      <c r="D23" s="16" t="s">
        <v>19</v>
      </c>
      <c r="E23" s="16" t="s">
        <v>19</v>
      </c>
      <c r="F23" s="16" t="s">
        <v>19</v>
      </c>
      <c r="G23" s="16" t="s">
        <v>19</v>
      </c>
      <c r="H23" s="17" t="s">
        <v>19</v>
      </c>
    </row>
    <row r="24" spans="1:8">
      <c r="A24" s="18" t="s">
        <v>19</v>
      </c>
      <c r="B24" s="19" t="s">
        <v>19</v>
      </c>
      <c r="C24" s="19" t="s">
        <v>19</v>
      </c>
      <c r="D24" s="19" t="s">
        <v>19</v>
      </c>
      <c r="E24" s="19" t="s">
        <v>19</v>
      </c>
      <c r="F24" s="19" t="s">
        <v>19</v>
      </c>
      <c r="G24" s="19" t="s">
        <v>19</v>
      </c>
      <c r="H24" s="20" t="s">
        <v>19</v>
      </c>
    </row>
  </sheetData>
  <mergeCells count="3">
    <mergeCell ref="A1:H2"/>
    <mergeCell ref="A4:H4"/>
    <mergeCell ref="A21:H24"/>
  </mergeCells>
  <phoneticPr fontId="7" type="noConversion"/>
  <conditionalFormatting sqref="B19">
    <cfRule type="containsText" dxfId="17" priority="1" operator="containsText" text="PASS"/>
    <cfRule type="containsText" dxfId="16" priority="2" operator="containsText" text="INCOMPLETE"/>
    <cfRule type="containsText" dxfId="15" priority="3" operator="containsText" text="PARTIAL"/>
  </conditionalFormatting>
  <dataValidations count="1">
    <dataValidation type="list" sqref="B8 B10:B12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showGridLines="0" zoomScale="55" zoomScaleNormal="55" workbookViewId="0">
      <selection sqref="A1:V2"/>
    </sheetView>
  </sheetViews>
  <sheetFormatPr defaultRowHeight="13.8"/>
  <cols>
    <col min="1" max="1" width="28" customWidth="1"/>
    <col min="2" max="2" width="13" customWidth="1"/>
    <col min="3" max="3" width="12" customWidth="1"/>
    <col min="4" max="4" width="22" customWidth="1"/>
    <col min="5" max="5" width="32" customWidth="1"/>
    <col min="6" max="15" width="8" customWidth="1"/>
    <col min="16" max="16" width="17" customWidth="1"/>
    <col min="17" max="17" width="11" customWidth="1"/>
    <col min="18" max="18" width="42" customWidth="1"/>
    <col min="19" max="19" width="26" customWidth="1"/>
    <col min="20" max="20" width="27" customWidth="1"/>
    <col min="21" max="22" width="14" customWidth="1"/>
  </cols>
  <sheetData>
    <row r="1" spans="1:22" ht="31.95" customHeight="1">
      <c r="A1" s="10" t="s">
        <v>20</v>
      </c>
      <c r="B1" s="10" t="s">
        <v>20</v>
      </c>
      <c r="C1" s="10" t="s">
        <v>20</v>
      </c>
      <c r="D1" s="10" t="s">
        <v>20</v>
      </c>
      <c r="E1" s="10" t="s">
        <v>20</v>
      </c>
      <c r="F1" s="10" t="s">
        <v>20</v>
      </c>
      <c r="G1" s="10" t="s">
        <v>20</v>
      </c>
      <c r="H1" s="10" t="s">
        <v>20</v>
      </c>
      <c r="I1" s="10" t="s">
        <v>20</v>
      </c>
      <c r="J1" s="10" t="s">
        <v>20</v>
      </c>
      <c r="K1" s="10" t="s">
        <v>20</v>
      </c>
      <c r="L1" s="10" t="s">
        <v>20</v>
      </c>
      <c r="M1" s="10" t="s">
        <v>20</v>
      </c>
      <c r="N1" s="10" t="s">
        <v>20</v>
      </c>
      <c r="O1" s="10" t="s">
        <v>20</v>
      </c>
      <c r="P1" s="10" t="s">
        <v>20</v>
      </c>
      <c r="Q1" s="10" t="s">
        <v>20</v>
      </c>
      <c r="R1" s="10" t="s">
        <v>20</v>
      </c>
      <c r="S1" s="10" t="s">
        <v>20</v>
      </c>
      <c r="T1" s="10" t="s">
        <v>20</v>
      </c>
      <c r="U1" s="10" t="s">
        <v>20</v>
      </c>
      <c r="V1" s="10" t="s">
        <v>20</v>
      </c>
    </row>
    <row r="2" spans="1:22" ht="31.95" customHeight="1">
      <c r="A2" s="10" t="s">
        <v>20</v>
      </c>
      <c r="B2" s="10" t="s">
        <v>20</v>
      </c>
      <c r="C2" s="10" t="s">
        <v>20</v>
      </c>
      <c r="D2" s="10" t="s">
        <v>20</v>
      </c>
      <c r="E2" s="10" t="s">
        <v>20</v>
      </c>
      <c r="F2" s="10" t="s">
        <v>20</v>
      </c>
      <c r="G2" s="10" t="s">
        <v>20</v>
      </c>
      <c r="H2" s="10" t="s">
        <v>20</v>
      </c>
      <c r="I2" s="10" t="s">
        <v>20</v>
      </c>
      <c r="J2" s="10" t="s">
        <v>20</v>
      </c>
      <c r="K2" s="10" t="s">
        <v>20</v>
      </c>
      <c r="L2" s="10" t="s">
        <v>20</v>
      </c>
      <c r="M2" s="10" t="s">
        <v>20</v>
      </c>
      <c r="N2" s="10" t="s">
        <v>20</v>
      </c>
      <c r="O2" s="10" t="s">
        <v>20</v>
      </c>
      <c r="P2" s="10" t="s">
        <v>20</v>
      </c>
      <c r="Q2" s="10" t="s">
        <v>20</v>
      </c>
      <c r="R2" s="10" t="s">
        <v>20</v>
      </c>
      <c r="S2" s="10" t="s">
        <v>20</v>
      </c>
      <c r="T2" s="10" t="s">
        <v>20</v>
      </c>
      <c r="U2" s="10" t="s">
        <v>20</v>
      </c>
      <c r="V2" s="10" t="s">
        <v>20</v>
      </c>
    </row>
    <row r="3" spans="1:22">
      <c r="A3" s="21" t="s">
        <v>21</v>
      </c>
      <c r="B3" s="21" t="s">
        <v>21</v>
      </c>
      <c r="C3" s="21" t="s">
        <v>21</v>
      </c>
      <c r="D3" s="21" t="s">
        <v>21</v>
      </c>
      <c r="E3" s="21" t="s">
        <v>21</v>
      </c>
      <c r="F3" s="21" t="s">
        <v>21</v>
      </c>
      <c r="G3" s="21" t="s">
        <v>21</v>
      </c>
      <c r="H3" s="21" t="s">
        <v>21</v>
      </c>
      <c r="I3" s="21" t="s">
        <v>21</v>
      </c>
      <c r="J3" s="21" t="s">
        <v>21</v>
      </c>
      <c r="K3" s="21" t="s">
        <v>21</v>
      </c>
      <c r="L3" s="21" t="s">
        <v>21</v>
      </c>
      <c r="M3" s="21" t="s">
        <v>21</v>
      </c>
      <c r="N3" s="21" t="s">
        <v>21</v>
      </c>
      <c r="O3" s="21" t="s">
        <v>21</v>
      </c>
      <c r="P3" s="21" t="s">
        <v>21</v>
      </c>
      <c r="Q3" s="21" t="s">
        <v>21</v>
      </c>
      <c r="R3" s="21" t="s">
        <v>21</v>
      </c>
      <c r="S3" s="21" t="s">
        <v>21</v>
      </c>
      <c r="T3" s="21" t="s">
        <v>21</v>
      </c>
      <c r="U3" s="21" t="s">
        <v>21</v>
      </c>
      <c r="V3" s="21" t="s">
        <v>21</v>
      </c>
    </row>
    <row r="5" spans="1:22" ht="27.6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</row>
    <row r="6" spans="1:22" ht="69">
      <c r="A6" s="6" t="s">
        <v>3</v>
      </c>
      <c r="B6" s="6" t="s">
        <v>44</v>
      </c>
      <c r="C6" s="6" t="s">
        <v>5</v>
      </c>
      <c r="D6" s="6" t="s">
        <v>45</v>
      </c>
      <c r="E6" s="6" t="s">
        <v>46</v>
      </c>
      <c r="F6" s="5">
        <v>5</v>
      </c>
      <c r="G6" s="5">
        <v>5</v>
      </c>
      <c r="H6" s="6" t="s">
        <v>47</v>
      </c>
      <c r="I6" s="6" t="s">
        <v>47</v>
      </c>
      <c r="J6" s="5">
        <v>5</v>
      </c>
      <c r="K6" s="5">
        <v>5</v>
      </c>
      <c r="L6" s="5">
        <v>5</v>
      </c>
      <c r="M6" s="5">
        <v>4</v>
      </c>
      <c r="N6" s="5">
        <v>5</v>
      </c>
      <c r="O6" s="5">
        <v>5</v>
      </c>
      <c r="P6" s="5" t="s">
        <v>48</v>
      </c>
      <c r="Q6" s="5">
        <v>3</v>
      </c>
      <c r="R6" s="5" t="s">
        <v>49</v>
      </c>
      <c r="S6" s="5" t="s">
        <v>50</v>
      </c>
      <c r="T6" s="9">
        <v>46243.568819444445</v>
      </c>
      <c r="U6" s="7" t="str">
        <f t="shared" ref="U6:U15" si="0">IF(AND($A6&lt;&gt;"",$B6&lt;&gt;"",$C6&lt;&gt;"",ISNUMBER($F6),ISNUMBER($G6),ISNUMBER($J6),ISNUMBER($K6),ISNUMBER($L6),ISNUMBER($M6),ISNUMBER($N6),ISNUMBER($O6),OR(AND($D6="BOTH_NA_REQUIRED",$H6="N/A",$I6="N/A"),AND($D6="BOTH_SCORED_REQUIRED",ISNUMBER($H6),ISNUMBER($I6))),OR($P6="A",$P6="B",$P6="Tie"),ISNUMBER($Q6),LEN(TRIM($R6))&gt;=10,LEFT(TRIM($S6),1)="[",RIGHT(TRIM($S6),1)="]",$T6&lt;&gt;""),"PASS","INCOMPLETE")</f>
        <v>PASS</v>
      </c>
      <c r="V6" s="7" t="str">
        <f>IF(AND($B6='QA Rules'!$B$3,$D6='QA Rules'!$C$3),"PASS","RULE_ERROR")</f>
        <v>PASS</v>
      </c>
    </row>
    <row r="7" spans="1:22" ht="69">
      <c r="A7" s="6" t="s">
        <v>3</v>
      </c>
      <c r="B7" s="6" t="s">
        <v>51</v>
      </c>
      <c r="C7" s="6" t="s">
        <v>5</v>
      </c>
      <c r="D7" s="6" t="s">
        <v>52</v>
      </c>
      <c r="E7" s="6" t="s">
        <v>53</v>
      </c>
      <c r="F7" s="5">
        <v>4</v>
      </c>
      <c r="G7" s="5">
        <v>4</v>
      </c>
      <c r="H7" s="5">
        <v>4</v>
      </c>
      <c r="I7" s="5">
        <v>5</v>
      </c>
      <c r="J7" s="5">
        <v>5</v>
      </c>
      <c r="K7" s="5">
        <v>5</v>
      </c>
      <c r="L7" s="5">
        <v>5</v>
      </c>
      <c r="M7" s="5">
        <v>3</v>
      </c>
      <c r="N7" s="5">
        <v>5</v>
      </c>
      <c r="O7" s="5">
        <v>4</v>
      </c>
      <c r="P7" s="5" t="s">
        <v>48</v>
      </c>
      <c r="Q7" s="5">
        <v>3</v>
      </c>
      <c r="R7" s="5" t="s">
        <v>54</v>
      </c>
      <c r="S7" s="5" t="s">
        <v>55</v>
      </c>
      <c r="T7" s="9">
        <v>46243.572523148148</v>
      </c>
      <c r="U7" s="7" t="str">
        <f t="shared" si="0"/>
        <v>PASS</v>
      </c>
      <c r="V7" s="7" t="str">
        <f>IF(AND($B7='QA Rules'!$B$4,$D7='QA Rules'!$C$4),"PASS","RULE_ERROR")</f>
        <v>PASS</v>
      </c>
    </row>
    <row r="8" spans="1:22" ht="69">
      <c r="A8" s="6" t="s">
        <v>3</v>
      </c>
      <c r="B8" s="6" t="s">
        <v>56</v>
      </c>
      <c r="C8" s="6" t="s">
        <v>5</v>
      </c>
      <c r="D8" s="6" t="s">
        <v>52</v>
      </c>
      <c r="E8" s="6" t="s">
        <v>57</v>
      </c>
      <c r="F8" s="5">
        <v>4</v>
      </c>
      <c r="G8" s="5">
        <v>4</v>
      </c>
      <c r="H8" s="5">
        <v>5</v>
      </c>
      <c r="I8" s="5">
        <v>4</v>
      </c>
      <c r="J8" s="5">
        <v>5</v>
      </c>
      <c r="K8" s="5">
        <v>5</v>
      </c>
      <c r="L8" s="5">
        <v>3</v>
      </c>
      <c r="M8" s="5">
        <v>5</v>
      </c>
      <c r="N8" s="5">
        <v>4</v>
      </c>
      <c r="O8" s="5">
        <v>5</v>
      </c>
      <c r="P8" s="5" t="s">
        <v>58</v>
      </c>
      <c r="Q8" s="5">
        <v>3</v>
      </c>
      <c r="R8" s="5" t="s">
        <v>59</v>
      </c>
      <c r="S8" s="5" t="s">
        <v>60</v>
      </c>
      <c r="T8" s="9">
        <v>46243.576481481483</v>
      </c>
      <c r="U8" s="7" t="str">
        <f t="shared" si="0"/>
        <v>PASS</v>
      </c>
      <c r="V8" s="7" t="str">
        <f>IF(AND($B8='QA Rules'!$B$5,$D8='QA Rules'!$C$5),"PASS","RULE_ERROR")</f>
        <v>PASS</v>
      </c>
    </row>
    <row r="9" spans="1:22" ht="55.2">
      <c r="A9" s="6" t="s">
        <v>3</v>
      </c>
      <c r="B9" s="6" t="s">
        <v>61</v>
      </c>
      <c r="C9" s="6" t="s">
        <v>5</v>
      </c>
      <c r="D9" s="6" t="s">
        <v>45</v>
      </c>
      <c r="E9" s="6" t="s">
        <v>62</v>
      </c>
      <c r="F9" s="5">
        <v>5</v>
      </c>
      <c r="G9" s="5">
        <v>5</v>
      </c>
      <c r="H9" s="6" t="s">
        <v>47</v>
      </c>
      <c r="I9" s="6" t="s">
        <v>47</v>
      </c>
      <c r="J9" s="5">
        <v>5</v>
      </c>
      <c r="K9" s="5">
        <v>5</v>
      </c>
      <c r="L9" s="5">
        <v>5</v>
      </c>
      <c r="M9" s="5">
        <v>5</v>
      </c>
      <c r="N9" s="5">
        <v>5</v>
      </c>
      <c r="O9" s="5">
        <v>5</v>
      </c>
      <c r="P9" s="5" t="s">
        <v>63</v>
      </c>
      <c r="Q9" s="5">
        <v>3</v>
      </c>
      <c r="R9" s="5" t="s">
        <v>64</v>
      </c>
      <c r="S9" s="5" t="s">
        <v>65</v>
      </c>
      <c r="T9" s="9">
        <v>46243.579606481486</v>
      </c>
      <c r="U9" s="7" t="str">
        <f t="shared" si="0"/>
        <v>PASS</v>
      </c>
      <c r="V9" s="7" t="str">
        <f>IF(AND($B9='QA Rules'!$B$6,$D9='QA Rules'!$C$6),"PASS","RULE_ERROR")</f>
        <v>PASS</v>
      </c>
    </row>
    <row r="10" spans="1:22" ht="55.2">
      <c r="A10" s="6" t="s">
        <v>3</v>
      </c>
      <c r="B10" s="6" t="s">
        <v>66</v>
      </c>
      <c r="C10" s="6" t="s">
        <v>5</v>
      </c>
      <c r="D10" s="6" t="s">
        <v>45</v>
      </c>
      <c r="E10" s="6" t="s">
        <v>67</v>
      </c>
      <c r="F10" s="5">
        <v>5</v>
      </c>
      <c r="G10" s="5">
        <v>5</v>
      </c>
      <c r="H10" s="6" t="s">
        <v>47</v>
      </c>
      <c r="I10" s="6" t="s">
        <v>47</v>
      </c>
      <c r="J10" s="5">
        <v>5</v>
      </c>
      <c r="K10" s="5">
        <v>5</v>
      </c>
      <c r="L10" s="5">
        <v>5</v>
      </c>
      <c r="M10" s="5">
        <v>5</v>
      </c>
      <c r="N10" s="5">
        <v>5</v>
      </c>
      <c r="O10" s="5">
        <v>5</v>
      </c>
      <c r="P10" s="5" t="s">
        <v>63</v>
      </c>
      <c r="Q10" s="5">
        <v>3</v>
      </c>
      <c r="R10" s="5" t="s">
        <v>68</v>
      </c>
      <c r="S10" s="5" t="s">
        <v>65</v>
      </c>
      <c r="T10" s="9">
        <v>46243.582812500004</v>
      </c>
      <c r="U10" s="7" t="str">
        <f t="shared" si="0"/>
        <v>PASS</v>
      </c>
      <c r="V10" s="7" t="str">
        <f>IF(AND($B10='QA Rules'!$B$7,$D10='QA Rules'!$C$7),"PASS","RULE_ERROR")</f>
        <v>PASS</v>
      </c>
    </row>
    <row r="11" spans="1:22" ht="69">
      <c r="A11" s="6" t="s">
        <v>3</v>
      </c>
      <c r="B11" s="6" t="s">
        <v>69</v>
      </c>
      <c r="C11" s="6" t="s">
        <v>5</v>
      </c>
      <c r="D11" s="6" t="s">
        <v>45</v>
      </c>
      <c r="E11" s="6" t="s">
        <v>70</v>
      </c>
      <c r="F11" s="5">
        <v>5</v>
      </c>
      <c r="G11" s="5">
        <v>5</v>
      </c>
      <c r="H11" s="6" t="s">
        <v>47</v>
      </c>
      <c r="I11" s="6" t="s">
        <v>47</v>
      </c>
      <c r="J11" s="5">
        <v>5</v>
      </c>
      <c r="K11" s="5">
        <v>5</v>
      </c>
      <c r="L11" s="5">
        <v>5</v>
      </c>
      <c r="M11" s="5">
        <v>4</v>
      </c>
      <c r="N11" s="5">
        <v>5</v>
      </c>
      <c r="O11" s="5">
        <v>5</v>
      </c>
      <c r="P11" s="5" t="s">
        <v>48</v>
      </c>
      <c r="Q11" s="5">
        <v>3</v>
      </c>
      <c r="R11" s="5" t="s">
        <v>71</v>
      </c>
      <c r="S11" s="5" t="s">
        <v>50</v>
      </c>
      <c r="T11" s="9">
        <v>46243.586412037039</v>
      </c>
      <c r="U11" s="7" t="str">
        <f t="shared" si="0"/>
        <v>PASS</v>
      </c>
      <c r="V11" s="7" t="str">
        <f>IF(AND($B11='QA Rules'!$B$8,$D11='QA Rules'!$C$8),"PASS","RULE_ERROR")</f>
        <v>PASS</v>
      </c>
    </row>
    <row r="12" spans="1:22" ht="69">
      <c r="A12" s="6" t="s">
        <v>3</v>
      </c>
      <c r="B12" s="6" t="s">
        <v>72</v>
      </c>
      <c r="C12" s="6" t="s">
        <v>5</v>
      </c>
      <c r="D12" s="6" t="s">
        <v>52</v>
      </c>
      <c r="E12" s="6" t="s">
        <v>73</v>
      </c>
      <c r="F12" s="5">
        <v>5</v>
      </c>
      <c r="G12" s="5">
        <v>5</v>
      </c>
      <c r="H12" s="5">
        <v>5</v>
      </c>
      <c r="I12" s="5">
        <v>4</v>
      </c>
      <c r="J12" s="5">
        <v>5</v>
      </c>
      <c r="K12" s="5">
        <v>5</v>
      </c>
      <c r="L12" s="5">
        <v>5</v>
      </c>
      <c r="M12" s="5">
        <v>5</v>
      </c>
      <c r="N12" s="5">
        <v>5</v>
      </c>
      <c r="O12" s="5">
        <v>5</v>
      </c>
      <c r="P12" s="5" t="s">
        <v>48</v>
      </c>
      <c r="Q12" s="5">
        <v>2</v>
      </c>
      <c r="R12" s="5" t="s">
        <v>74</v>
      </c>
      <c r="S12" s="5" t="s">
        <v>65</v>
      </c>
      <c r="T12" s="9">
        <v>46243.58965277778</v>
      </c>
      <c r="U12" s="7" t="str">
        <f t="shared" si="0"/>
        <v>PASS</v>
      </c>
      <c r="V12" s="7" t="str">
        <f>IF(AND($B12='QA Rules'!$B$9,$D12='QA Rules'!$C$9),"PASS","RULE_ERROR")</f>
        <v>PASS</v>
      </c>
    </row>
    <row r="13" spans="1:22" ht="69">
      <c r="A13" s="6" t="s">
        <v>3</v>
      </c>
      <c r="B13" s="6" t="s">
        <v>75</v>
      </c>
      <c r="C13" s="6" t="s">
        <v>5</v>
      </c>
      <c r="D13" s="6" t="s">
        <v>52</v>
      </c>
      <c r="E13" s="6" t="s">
        <v>76</v>
      </c>
      <c r="F13" s="5">
        <v>5</v>
      </c>
      <c r="G13" s="5">
        <v>5</v>
      </c>
      <c r="H13" s="5">
        <v>5</v>
      </c>
      <c r="I13" s="5">
        <v>4</v>
      </c>
      <c r="J13" s="5">
        <v>5</v>
      </c>
      <c r="K13" s="5">
        <v>5</v>
      </c>
      <c r="L13" s="5">
        <v>5</v>
      </c>
      <c r="M13" s="5">
        <v>5</v>
      </c>
      <c r="N13" s="5">
        <v>5</v>
      </c>
      <c r="O13" s="5">
        <v>5</v>
      </c>
      <c r="P13" s="5" t="s">
        <v>48</v>
      </c>
      <c r="Q13" s="5">
        <v>2</v>
      </c>
      <c r="R13" s="5" t="s">
        <v>77</v>
      </c>
      <c r="S13" s="5" t="s">
        <v>65</v>
      </c>
      <c r="T13" s="9">
        <v>46243.592673611114</v>
      </c>
      <c r="U13" s="7" t="str">
        <f t="shared" si="0"/>
        <v>PASS</v>
      </c>
      <c r="V13" s="7" t="str">
        <f>IF(AND($B13='QA Rules'!$B$10,$D13='QA Rules'!$C$10),"PASS","RULE_ERROR")</f>
        <v>PASS</v>
      </c>
    </row>
    <row r="14" spans="1:22" ht="55.2">
      <c r="A14" s="6" t="s">
        <v>3</v>
      </c>
      <c r="B14" s="6" t="s">
        <v>78</v>
      </c>
      <c r="C14" s="6" t="s">
        <v>5</v>
      </c>
      <c r="D14" s="6" t="s">
        <v>45</v>
      </c>
      <c r="E14" s="6" t="s">
        <v>79</v>
      </c>
      <c r="F14" s="5">
        <v>2</v>
      </c>
      <c r="G14" s="5">
        <v>2</v>
      </c>
      <c r="H14" s="6" t="s">
        <v>47</v>
      </c>
      <c r="I14" s="6" t="s">
        <v>47</v>
      </c>
      <c r="J14" s="5">
        <v>4</v>
      </c>
      <c r="K14" s="5">
        <v>4</v>
      </c>
      <c r="L14" s="5">
        <v>5</v>
      </c>
      <c r="M14" s="5">
        <v>5</v>
      </c>
      <c r="N14" s="5">
        <v>5</v>
      </c>
      <c r="O14" s="5">
        <v>4</v>
      </c>
      <c r="P14" s="5" t="s">
        <v>48</v>
      </c>
      <c r="Q14" s="5">
        <v>2</v>
      </c>
      <c r="R14" s="5" t="s">
        <v>80</v>
      </c>
      <c r="S14" s="5" t="s">
        <v>81</v>
      </c>
      <c r="T14" s="9">
        <v>46243.595983796302</v>
      </c>
      <c r="U14" s="7" t="str">
        <f t="shared" si="0"/>
        <v>PASS</v>
      </c>
      <c r="V14" s="7" t="str">
        <f>IF(AND($B14='QA Rules'!$B$11,$D14='QA Rules'!$C$11),"PASS","RULE_ERROR")</f>
        <v>PASS</v>
      </c>
    </row>
    <row r="15" spans="1:22" ht="69">
      <c r="A15" s="6" t="s">
        <v>3</v>
      </c>
      <c r="B15" s="6" t="s">
        <v>82</v>
      </c>
      <c r="C15" s="6" t="s">
        <v>5</v>
      </c>
      <c r="D15" s="6" t="s">
        <v>45</v>
      </c>
      <c r="E15" s="6" t="s">
        <v>83</v>
      </c>
      <c r="F15" s="5">
        <v>4</v>
      </c>
      <c r="G15" s="5">
        <v>4</v>
      </c>
      <c r="H15" s="6" t="s">
        <v>47</v>
      </c>
      <c r="I15" s="6" t="s">
        <v>47</v>
      </c>
      <c r="J15" s="5">
        <v>5</v>
      </c>
      <c r="K15" s="5">
        <v>5</v>
      </c>
      <c r="L15" s="5">
        <v>2</v>
      </c>
      <c r="M15" s="5">
        <v>5</v>
      </c>
      <c r="N15" s="5">
        <v>3</v>
      </c>
      <c r="O15" s="5">
        <v>5</v>
      </c>
      <c r="P15" s="5" t="s">
        <v>58</v>
      </c>
      <c r="Q15" s="5">
        <v>3</v>
      </c>
      <c r="R15" s="5" t="s">
        <v>84</v>
      </c>
      <c r="S15" s="5" t="s">
        <v>85</v>
      </c>
      <c r="T15" s="9">
        <v>46243.599710648152</v>
      </c>
      <c r="U15" s="7" t="str">
        <f t="shared" si="0"/>
        <v>PASS</v>
      </c>
      <c r="V15" s="7" t="str">
        <f>IF(AND($B15='QA Rules'!$B$12,$D15='QA Rules'!$C$12),"PASS","RULE_ERROR")</f>
        <v>PASS</v>
      </c>
    </row>
  </sheetData>
  <mergeCells count="2">
    <mergeCell ref="A1:V2"/>
    <mergeCell ref="A3:V3"/>
  </mergeCells>
  <phoneticPr fontId="7" type="noConversion"/>
  <conditionalFormatting sqref="U6:V15">
    <cfRule type="containsText" dxfId="14" priority="1" operator="containsText" text="PASS"/>
    <cfRule type="containsText" dxfId="13" priority="2" operator="containsText" text="INCOMPLETE"/>
    <cfRule type="containsText" dxfId="12" priority="3" operator="containsText" text="PARTIAL"/>
  </conditionalFormatting>
  <dataValidations count="4">
    <dataValidation type="list" sqref="F6:G15 J6:O15 H12:I13 H7:I8" xr:uid="{00000000-0002-0000-0100-000000000000}">
      <formula1>"1,2,3,4,5"</formula1>
    </dataValidation>
    <dataValidation type="list" sqref="H6:I6 H14:I15 H9:I11" xr:uid="{00000000-0002-0000-0100-000001000000}">
      <formula1>"N/A"</formula1>
    </dataValidation>
    <dataValidation type="list" sqref="P6:P15" xr:uid="{00000000-0002-0000-0100-00000C000000}">
      <formula1>"A,B,Tie"</formula1>
    </dataValidation>
    <dataValidation type="list" sqref="Q6:Q15" xr:uid="{00000000-0002-0000-0100-00000D000000}">
      <formula1>"1,2,3"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showGridLines="0" workbookViewId="0">
      <selection sqref="A1:L2"/>
    </sheetView>
  </sheetViews>
  <sheetFormatPr defaultRowHeight="13.8"/>
  <cols>
    <col min="1" max="1" width="28" customWidth="1"/>
    <col min="2" max="2" width="13" customWidth="1"/>
    <col min="3" max="3" width="12" customWidth="1"/>
    <col min="4" max="4" width="34" customWidth="1"/>
    <col min="5" max="5" width="24" customWidth="1"/>
    <col min="6" max="6" width="18" customWidth="1"/>
    <col min="7" max="7" width="22" customWidth="1"/>
    <col min="8" max="8" width="48" customWidth="1"/>
    <col min="9" max="9" width="11" customWidth="1"/>
    <col min="10" max="10" width="27" customWidth="1"/>
    <col min="11" max="12" width="14" customWidth="1"/>
  </cols>
  <sheetData>
    <row r="1" spans="1:12" ht="31.95" customHeight="1">
      <c r="A1" s="10" t="s">
        <v>86</v>
      </c>
      <c r="B1" s="10" t="s">
        <v>86</v>
      </c>
      <c r="C1" s="10" t="s">
        <v>86</v>
      </c>
      <c r="D1" s="10" t="s">
        <v>86</v>
      </c>
      <c r="E1" s="10" t="s">
        <v>86</v>
      </c>
      <c r="F1" s="10" t="s">
        <v>86</v>
      </c>
      <c r="G1" s="10" t="s">
        <v>86</v>
      </c>
      <c r="H1" s="10" t="s">
        <v>86</v>
      </c>
      <c r="I1" s="10" t="s">
        <v>86</v>
      </c>
      <c r="J1" s="10" t="s">
        <v>86</v>
      </c>
      <c r="K1" s="10" t="s">
        <v>86</v>
      </c>
      <c r="L1" s="10" t="s">
        <v>86</v>
      </c>
    </row>
    <row r="2" spans="1:12" ht="31.95" customHeight="1">
      <c r="A2" s="10" t="s">
        <v>86</v>
      </c>
      <c r="B2" s="10" t="s">
        <v>86</v>
      </c>
      <c r="C2" s="10" t="s">
        <v>86</v>
      </c>
      <c r="D2" s="10" t="s">
        <v>86</v>
      </c>
      <c r="E2" s="10" t="s">
        <v>86</v>
      </c>
      <c r="F2" s="10" t="s">
        <v>86</v>
      </c>
      <c r="G2" s="10" t="s">
        <v>86</v>
      </c>
      <c r="H2" s="10" t="s">
        <v>86</v>
      </c>
      <c r="I2" s="10" t="s">
        <v>86</v>
      </c>
      <c r="J2" s="10" t="s">
        <v>86</v>
      </c>
      <c r="K2" s="10" t="s">
        <v>86</v>
      </c>
      <c r="L2" s="10" t="s">
        <v>86</v>
      </c>
    </row>
    <row r="3" spans="1:12">
      <c r="A3" s="21" t="s">
        <v>87</v>
      </c>
      <c r="B3" s="21" t="s">
        <v>87</v>
      </c>
      <c r="C3" s="21" t="s">
        <v>87</v>
      </c>
      <c r="D3" s="21" t="s">
        <v>87</v>
      </c>
      <c r="E3" s="21" t="s">
        <v>87</v>
      </c>
      <c r="F3" s="21" t="s">
        <v>87</v>
      </c>
      <c r="G3" s="21" t="s">
        <v>87</v>
      </c>
      <c r="H3" s="21" t="s">
        <v>87</v>
      </c>
      <c r="I3" s="21" t="s">
        <v>87</v>
      </c>
      <c r="J3" s="21" t="s">
        <v>87</v>
      </c>
      <c r="K3" s="21" t="s">
        <v>87</v>
      </c>
      <c r="L3" s="21" t="s">
        <v>87</v>
      </c>
    </row>
    <row r="5" spans="1:12">
      <c r="A5" s="1" t="s">
        <v>22</v>
      </c>
      <c r="B5" s="1" t="s">
        <v>88</v>
      </c>
      <c r="C5" s="1" t="s">
        <v>24</v>
      </c>
      <c r="D5" s="1" t="s">
        <v>26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38</v>
      </c>
      <c r="J5" s="1" t="s">
        <v>41</v>
      </c>
      <c r="K5" s="1" t="s">
        <v>42</v>
      </c>
      <c r="L5" s="1" t="s">
        <v>43</v>
      </c>
    </row>
    <row r="6" spans="1:12" ht="41.4">
      <c r="A6" s="6" t="s">
        <v>3</v>
      </c>
      <c r="B6" s="6" t="s">
        <v>93</v>
      </c>
      <c r="C6" s="6" t="s">
        <v>5</v>
      </c>
      <c r="D6" s="6" t="s">
        <v>94</v>
      </c>
      <c r="E6" s="6" t="s">
        <v>95</v>
      </c>
      <c r="F6" s="5" t="s">
        <v>96</v>
      </c>
      <c r="G6" s="5" t="s">
        <v>97</v>
      </c>
      <c r="H6" s="5" t="s">
        <v>98</v>
      </c>
      <c r="I6" s="5">
        <v>3</v>
      </c>
      <c r="J6" s="9">
        <v>46243.601377314815</v>
      </c>
      <c r="K6" s="7" t="str">
        <f t="shared" ref="K6:K14" si="0">IF(AND($A6&lt;&gt;"",$B6&lt;&gt;"",$C6&lt;&gt;"",OR($F6="preserved",$F6="not_preserved",$F6="uncertain"),$G6&lt;&gt;"",LEN(TRIM($H6))&gt;=10,ISNUMBER($I6),$J6&lt;&gt;"",OR(AND($F6="preserved",$G6="none"),AND($F6&lt;&gt;"preserved",$G6&lt;&gt;"none"))),"PASS","INCOMPLETE")</f>
        <v>PASS</v>
      </c>
      <c r="L6" s="7" t="str">
        <f>IF($B6='QA Rules'!$B$16,"PASS","RULE_ERROR")</f>
        <v>PASS</v>
      </c>
    </row>
    <row r="7" spans="1:12" ht="41.4">
      <c r="A7" s="6" t="s">
        <v>3</v>
      </c>
      <c r="B7" s="6" t="s">
        <v>99</v>
      </c>
      <c r="C7" s="6" t="s">
        <v>5</v>
      </c>
      <c r="D7" s="6" t="s">
        <v>100</v>
      </c>
      <c r="E7" s="6" t="s">
        <v>101</v>
      </c>
      <c r="F7" s="5" t="s">
        <v>96</v>
      </c>
      <c r="G7" s="5" t="s">
        <v>97</v>
      </c>
      <c r="H7" s="5" t="s">
        <v>102</v>
      </c>
      <c r="I7" s="5">
        <v>3</v>
      </c>
      <c r="J7" s="9">
        <v>46243.603194444448</v>
      </c>
      <c r="K7" s="7" t="str">
        <f t="shared" si="0"/>
        <v>PASS</v>
      </c>
      <c r="L7" s="7" t="str">
        <f>IF($B7='QA Rules'!$B$17,"PASS","RULE_ERROR")</f>
        <v>PASS</v>
      </c>
    </row>
    <row r="8" spans="1:12" ht="41.4">
      <c r="A8" s="6" t="s">
        <v>3</v>
      </c>
      <c r="B8" s="6" t="s">
        <v>103</v>
      </c>
      <c r="C8" s="6" t="s">
        <v>5</v>
      </c>
      <c r="D8" s="6" t="s">
        <v>104</v>
      </c>
      <c r="E8" s="6" t="s">
        <v>105</v>
      </c>
      <c r="F8" s="5" t="s">
        <v>96</v>
      </c>
      <c r="G8" s="5" t="s">
        <v>97</v>
      </c>
      <c r="H8" s="5" t="s">
        <v>106</v>
      </c>
      <c r="I8" s="5">
        <v>3</v>
      </c>
      <c r="J8" s="9">
        <v>46243.604803240742</v>
      </c>
      <c r="K8" s="7" t="str">
        <f t="shared" si="0"/>
        <v>PASS</v>
      </c>
      <c r="L8" s="7" t="str">
        <f>IF($B8='QA Rules'!$B$18,"PASS","RULE_ERROR")</f>
        <v>PASS</v>
      </c>
    </row>
    <row r="9" spans="1:12" ht="27.6">
      <c r="A9" s="6" t="s">
        <v>3</v>
      </c>
      <c r="B9" s="6" t="s">
        <v>107</v>
      </c>
      <c r="C9" s="6" t="s">
        <v>5</v>
      </c>
      <c r="D9" s="6" t="s">
        <v>108</v>
      </c>
      <c r="E9" s="6" t="s">
        <v>101</v>
      </c>
      <c r="F9" s="5" t="s">
        <v>96</v>
      </c>
      <c r="G9" s="5" t="s">
        <v>97</v>
      </c>
      <c r="H9" s="5" t="s">
        <v>109</v>
      </c>
      <c r="I9" s="5">
        <v>3</v>
      </c>
      <c r="J9" s="9">
        <v>46243.606504629635</v>
      </c>
      <c r="K9" s="7" t="str">
        <f t="shared" si="0"/>
        <v>PASS</v>
      </c>
      <c r="L9" s="7" t="str">
        <f>IF($B9='QA Rules'!$B$19,"PASS","RULE_ERROR")</f>
        <v>PASS</v>
      </c>
    </row>
    <row r="10" spans="1:12" ht="27.6">
      <c r="A10" s="6" t="s">
        <v>3</v>
      </c>
      <c r="B10" s="6" t="s">
        <v>110</v>
      </c>
      <c r="C10" s="6" t="s">
        <v>5</v>
      </c>
      <c r="D10" s="6" t="s">
        <v>111</v>
      </c>
      <c r="E10" s="6" t="s">
        <v>95</v>
      </c>
      <c r="F10" s="5" t="s">
        <v>96</v>
      </c>
      <c r="G10" s="5" t="s">
        <v>97</v>
      </c>
      <c r="H10" s="5" t="s">
        <v>112</v>
      </c>
      <c r="I10" s="5">
        <v>3</v>
      </c>
      <c r="J10" s="9">
        <v>46243.608287037037</v>
      </c>
      <c r="K10" s="7" t="str">
        <f t="shared" si="0"/>
        <v>PASS</v>
      </c>
      <c r="L10" s="7" t="str">
        <f>IF($B10='QA Rules'!$B$20,"PASS","RULE_ERROR")</f>
        <v>PASS</v>
      </c>
    </row>
    <row r="11" spans="1:12" ht="41.4">
      <c r="A11" s="6" t="s">
        <v>3</v>
      </c>
      <c r="B11" s="6" t="s">
        <v>113</v>
      </c>
      <c r="C11" s="6" t="s">
        <v>5</v>
      </c>
      <c r="D11" s="6" t="s">
        <v>114</v>
      </c>
      <c r="E11" s="6" t="s">
        <v>105</v>
      </c>
      <c r="F11" s="5" t="s">
        <v>96</v>
      </c>
      <c r="G11" s="5" t="s">
        <v>97</v>
      </c>
      <c r="H11" s="5" t="s">
        <v>115</v>
      </c>
      <c r="I11" s="5">
        <v>3</v>
      </c>
      <c r="J11" s="9">
        <v>46243.609791666669</v>
      </c>
      <c r="K11" s="7" t="str">
        <f t="shared" si="0"/>
        <v>PASS</v>
      </c>
      <c r="L11" s="7" t="str">
        <f>IF($B11='QA Rules'!$B$21,"PASS","RULE_ERROR")</f>
        <v>PASS</v>
      </c>
    </row>
    <row r="12" spans="1:12" ht="41.4">
      <c r="A12" s="6" t="s">
        <v>3</v>
      </c>
      <c r="B12" s="6" t="s">
        <v>116</v>
      </c>
      <c r="C12" s="6" t="s">
        <v>5</v>
      </c>
      <c r="D12" s="6" t="s">
        <v>117</v>
      </c>
      <c r="E12" s="6" t="s">
        <v>118</v>
      </c>
      <c r="F12" s="5" t="s">
        <v>96</v>
      </c>
      <c r="G12" s="5" t="s">
        <v>97</v>
      </c>
      <c r="H12" s="5" t="s">
        <v>119</v>
      </c>
      <c r="I12" s="5">
        <v>3</v>
      </c>
      <c r="J12" s="9">
        <v>46243.611435185187</v>
      </c>
      <c r="K12" s="7" t="str">
        <f t="shared" si="0"/>
        <v>PASS</v>
      </c>
      <c r="L12" s="7" t="str">
        <f>IF($B12='QA Rules'!$B$22,"PASS","RULE_ERROR")</f>
        <v>PASS</v>
      </c>
    </row>
    <row r="13" spans="1:12" ht="69">
      <c r="A13" s="6" t="s">
        <v>3</v>
      </c>
      <c r="B13" s="6" t="s">
        <v>120</v>
      </c>
      <c r="C13" s="6" t="s">
        <v>5</v>
      </c>
      <c r="D13" s="6" t="s">
        <v>121</v>
      </c>
      <c r="E13" s="6" t="s">
        <v>122</v>
      </c>
      <c r="F13" s="5" t="s">
        <v>123</v>
      </c>
      <c r="G13" s="5" t="s">
        <v>124</v>
      </c>
      <c r="H13" s="5" t="s">
        <v>125</v>
      </c>
      <c r="I13" s="5">
        <v>2</v>
      </c>
      <c r="J13" s="9">
        <v>46243.613726851858</v>
      </c>
      <c r="K13" s="7" t="str">
        <f t="shared" si="0"/>
        <v>PASS</v>
      </c>
      <c r="L13" s="7" t="str">
        <f>IF($B13='QA Rules'!$B$23,"PASS","RULE_ERROR")</f>
        <v>PASS</v>
      </c>
    </row>
    <row r="14" spans="1:12" ht="41.4">
      <c r="A14" s="6" t="s">
        <v>3</v>
      </c>
      <c r="B14" s="6" t="s">
        <v>126</v>
      </c>
      <c r="C14" s="6" t="s">
        <v>5</v>
      </c>
      <c r="D14" s="6" t="s">
        <v>127</v>
      </c>
      <c r="E14" s="6" t="s">
        <v>118</v>
      </c>
      <c r="F14" s="5" t="s">
        <v>96</v>
      </c>
      <c r="G14" s="5" t="s">
        <v>97</v>
      </c>
      <c r="H14" s="5" t="s">
        <v>128</v>
      </c>
      <c r="I14" s="5">
        <v>3</v>
      </c>
      <c r="J14" s="9">
        <v>46243.615300925929</v>
      </c>
      <c r="K14" s="7" t="str">
        <f t="shared" si="0"/>
        <v>PASS</v>
      </c>
      <c r="L14" s="7" t="str">
        <f>IF($B14='QA Rules'!$B$24,"PASS","RULE_ERROR")</f>
        <v>PASS</v>
      </c>
    </row>
  </sheetData>
  <mergeCells count="2">
    <mergeCell ref="A1:L2"/>
    <mergeCell ref="A3:L3"/>
  </mergeCells>
  <phoneticPr fontId="7" type="noConversion"/>
  <conditionalFormatting sqref="K6:L14">
    <cfRule type="containsText" dxfId="11" priority="1" operator="containsText" text="PASS"/>
    <cfRule type="containsText" dxfId="10" priority="2" operator="containsText" text="INCOMPLETE"/>
    <cfRule type="containsText" dxfId="9" priority="3" operator="containsText" text="PARTIAL"/>
  </conditionalFormatting>
  <dataValidations count="3">
    <dataValidation type="list" sqref="F6:F14" xr:uid="{00000000-0002-0000-0200-000000000000}">
      <formula1>"preserved,not_preserved,uncertain"</formula1>
    </dataValidation>
    <dataValidation type="list" sqref="G6:G14" xr:uid="{00000000-0002-0000-0200-000001000000}">
      <formula1>"none,added meaning,omitted meaning,contradicted meaning,source ambiguity,other"</formula1>
    </dataValidation>
    <dataValidation type="list" sqref="I6:I14" xr:uid="{00000000-0002-0000-0200-000002000000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3"/>
  <sheetViews>
    <sheetView showGridLines="0" tabSelected="1" topLeftCell="B1" workbookViewId="0">
      <selection sqref="A1:H2"/>
    </sheetView>
  </sheetViews>
  <sheetFormatPr defaultRowHeight="13.8"/>
  <cols>
    <col min="1" max="1" width="28" customWidth="1"/>
    <col min="2" max="2" width="13" customWidth="1"/>
    <col min="3" max="3" width="12" customWidth="1"/>
    <col min="4" max="4" width="34" customWidth="1"/>
    <col min="5" max="5" width="16" customWidth="1"/>
    <col min="6" max="6" width="72" customWidth="1"/>
    <col min="7" max="7" width="27" customWidth="1"/>
    <col min="8" max="8" width="14" customWidth="1"/>
  </cols>
  <sheetData>
    <row r="1" spans="1:8" ht="31.95" customHeight="1">
      <c r="A1" s="10" t="s">
        <v>129</v>
      </c>
      <c r="B1" s="10" t="s">
        <v>129</v>
      </c>
      <c r="C1" s="10" t="s">
        <v>129</v>
      </c>
      <c r="D1" s="10" t="s">
        <v>129</v>
      </c>
      <c r="E1" s="10" t="s">
        <v>129</v>
      </c>
      <c r="F1" s="10" t="s">
        <v>129</v>
      </c>
      <c r="G1" s="10" t="s">
        <v>129</v>
      </c>
      <c r="H1" s="10" t="s">
        <v>129</v>
      </c>
    </row>
    <row r="2" spans="1:8" ht="31.95" customHeight="1">
      <c r="A2" s="10" t="s">
        <v>129</v>
      </c>
      <c r="B2" s="10" t="s">
        <v>129</v>
      </c>
      <c r="C2" s="10" t="s">
        <v>129</v>
      </c>
      <c r="D2" s="10" t="s">
        <v>129</v>
      </c>
      <c r="E2" s="10" t="s">
        <v>129</v>
      </c>
      <c r="F2" s="10" t="s">
        <v>129</v>
      </c>
      <c r="G2" s="10" t="s">
        <v>129</v>
      </c>
      <c r="H2" s="10" t="s">
        <v>129</v>
      </c>
    </row>
    <row r="3" spans="1:8">
      <c r="A3" s="21" t="s">
        <v>130</v>
      </c>
      <c r="B3" s="21" t="s">
        <v>130</v>
      </c>
      <c r="C3" s="21" t="s">
        <v>130</v>
      </c>
      <c r="D3" s="21" t="s">
        <v>130</v>
      </c>
      <c r="E3" s="21" t="s">
        <v>130</v>
      </c>
      <c r="F3" s="21" t="s">
        <v>130</v>
      </c>
      <c r="G3" s="21" t="s">
        <v>130</v>
      </c>
      <c r="H3" s="21" t="s">
        <v>130</v>
      </c>
    </row>
    <row r="5" spans="1:8" ht="27.6">
      <c r="A5" s="1" t="s">
        <v>22</v>
      </c>
      <c r="B5" s="1" t="s">
        <v>88</v>
      </c>
      <c r="C5" s="1" t="s">
        <v>24</v>
      </c>
      <c r="D5" s="1" t="s">
        <v>26</v>
      </c>
      <c r="E5" s="1" t="s">
        <v>131</v>
      </c>
      <c r="F5" s="1" t="s">
        <v>132</v>
      </c>
      <c r="G5" s="1" t="s">
        <v>41</v>
      </c>
      <c r="H5" s="1" t="s">
        <v>42</v>
      </c>
    </row>
    <row r="6" spans="1:8" ht="27.6">
      <c r="A6" s="6" t="s">
        <v>3</v>
      </c>
      <c r="B6" s="6" t="s">
        <v>93</v>
      </c>
      <c r="C6" s="6" t="s">
        <v>5</v>
      </c>
      <c r="D6" s="6" t="s">
        <v>94</v>
      </c>
      <c r="E6" s="6">
        <v>1</v>
      </c>
      <c r="F6" s="5" t="s">
        <v>133</v>
      </c>
      <c r="G6" s="9">
        <v>46243.615983796299</v>
      </c>
      <c r="H6" s="7" t="str">
        <f t="shared" ref="H6:H37" si="0">IF(AND($F6="",$G6=""),"UNUSED",IF(AND($F6&lt;&gt;"",$G6&lt;&gt;""),"PASS","PARTIAL"))</f>
        <v>PASS</v>
      </c>
    </row>
    <row r="7" spans="1:8" ht="27.6">
      <c r="A7" s="6" t="s">
        <v>3</v>
      </c>
      <c r="B7" s="6" t="s">
        <v>93</v>
      </c>
      <c r="C7" s="6" t="s">
        <v>5</v>
      </c>
      <c r="D7" s="6" t="s">
        <v>94</v>
      </c>
      <c r="E7" s="6">
        <v>2</v>
      </c>
      <c r="F7" s="5" t="s">
        <v>134</v>
      </c>
      <c r="G7" s="9">
        <v>46243.616296296299</v>
      </c>
      <c r="H7" s="7" t="str">
        <f t="shared" si="0"/>
        <v>PASS</v>
      </c>
    </row>
    <row r="8" spans="1:8" ht="27.6">
      <c r="A8" s="6" t="s">
        <v>3</v>
      </c>
      <c r="B8" s="6" t="s">
        <v>93</v>
      </c>
      <c r="C8" s="6" t="s">
        <v>5</v>
      </c>
      <c r="D8" s="6" t="s">
        <v>94</v>
      </c>
      <c r="E8" s="6">
        <v>3</v>
      </c>
      <c r="F8" s="5" t="s">
        <v>135</v>
      </c>
      <c r="G8" s="9">
        <v>46243.616562499999</v>
      </c>
      <c r="H8" s="7" t="str">
        <f t="shared" si="0"/>
        <v>PASS</v>
      </c>
    </row>
    <row r="9" spans="1:8" ht="27.6">
      <c r="A9" s="6" t="s">
        <v>3</v>
      </c>
      <c r="B9" s="6" t="s">
        <v>93</v>
      </c>
      <c r="C9" s="6" t="s">
        <v>5</v>
      </c>
      <c r="D9" s="6" t="s">
        <v>94</v>
      </c>
      <c r="E9" s="6">
        <v>4</v>
      </c>
      <c r="F9" s="5" t="s">
        <v>136</v>
      </c>
      <c r="G9" s="9">
        <v>46243.616793981484</v>
      </c>
      <c r="H9" s="7" t="str">
        <f t="shared" si="0"/>
        <v>PASS</v>
      </c>
    </row>
    <row r="10" spans="1:8" ht="27.6">
      <c r="A10" s="6" t="s">
        <v>3</v>
      </c>
      <c r="B10" s="6" t="s">
        <v>93</v>
      </c>
      <c r="C10" s="6" t="s">
        <v>5</v>
      </c>
      <c r="D10" s="6" t="s">
        <v>94</v>
      </c>
      <c r="E10" s="6">
        <v>5</v>
      </c>
      <c r="F10" s="5" t="s">
        <v>137</v>
      </c>
      <c r="G10" s="9">
        <v>46243.617002314815</v>
      </c>
      <c r="H10" s="7" t="str">
        <f t="shared" si="0"/>
        <v>PASS</v>
      </c>
    </row>
    <row r="11" spans="1:8" ht="27.6">
      <c r="A11" s="6" t="s">
        <v>3</v>
      </c>
      <c r="B11" s="6" t="s">
        <v>93</v>
      </c>
      <c r="C11" s="6" t="s">
        <v>5</v>
      </c>
      <c r="D11" s="6" t="s">
        <v>94</v>
      </c>
      <c r="E11" s="6">
        <v>6</v>
      </c>
      <c r="F11" s="5" t="s">
        <v>138</v>
      </c>
      <c r="G11" s="9">
        <v>46243.617256944446</v>
      </c>
      <c r="H11" s="7" t="str">
        <f t="shared" si="0"/>
        <v>PASS</v>
      </c>
    </row>
    <row r="12" spans="1:8" ht="27.6">
      <c r="A12" s="6" t="s">
        <v>3</v>
      </c>
      <c r="B12" s="6" t="s">
        <v>93</v>
      </c>
      <c r="C12" s="6" t="s">
        <v>5</v>
      </c>
      <c r="D12" s="6" t="s">
        <v>94</v>
      </c>
      <c r="E12" s="6">
        <v>7</v>
      </c>
      <c r="F12" s="5"/>
      <c r="G12" s="9"/>
      <c r="H12" s="7" t="str">
        <f t="shared" si="0"/>
        <v>UNUSED</v>
      </c>
    </row>
    <row r="13" spans="1:8" ht="27.6">
      <c r="A13" s="6" t="s">
        <v>3</v>
      </c>
      <c r="B13" s="6" t="s">
        <v>93</v>
      </c>
      <c r="C13" s="6" t="s">
        <v>5</v>
      </c>
      <c r="D13" s="6" t="s">
        <v>94</v>
      </c>
      <c r="E13" s="6">
        <v>8</v>
      </c>
      <c r="F13" s="5"/>
      <c r="G13" s="9"/>
      <c r="H13" s="7" t="str">
        <f t="shared" si="0"/>
        <v>UNUSED</v>
      </c>
    </row>
    <row r="14" spans="1:8" ht="27.6">
      <c r="A14" s="6" t="s">
        <v>3</v>
      </c>
      <c r="B14" s="6" t="s">
        <v>93</v>
      </c>
      <c r="C14" s="6" t="s">
        <v>5</v>
      </c>
      <c r="D14" s="6" t="s">
        <v>94</v>
      </c>
      <c r="E14" s="6">
        <v>9</v>
      </c>
      <c r="F14" s="5"/>
      <c r="G14" s="9"/>
      <c r="H14" s="7" t="str">
        <f t="shared" si="0"/>
        <v>UNUSED</v>
      </c>
    </row>
    <row r="15" spans="1:8" ht="27.6">
      <c r="A15" s="6" t="s">
        <v>3</v>
      </c>
      <c r="B15" s="6" t="s">
        <v>93</v>
      </c>
      <c r="C15" s="6" t="s">
        <v>5</v>
      </c>
      <c r="D15" s="6" t="s">
        <v>94</v>
      </c>
      <c r="E15" s="6">
        <v>10</v>
      </c>
      <c r="F15" s="5"/>
      <c r="G15" s="9"/>
      <c r="H15" s="7" t="str">
        <f t="shared" si="0"/>
        <v>UNUSED</v>
      </c>
    </row>
    <row r="16" spans="1:8" ht="27.6">
      <c r="A16" s="6" t="s">
        <v>3</v>
      </c>
      <c r="B16" s="6" t="s">
        <v>93</v>
      </c>
      <c r="C16" s="6" t="s">
        <v>5</v>
      </c>
      <c r="D16" s="6" t="s">
        <v>94</v>
      </c>
      <c r="E16" s="6">
        <v>11</v>
      </c>
      <c r="F16" s="5"/>
      <c r="G16" s="9"/>
      <c r="H16" s="7" t="str">
        <f t="shared" si="0"/>
        <v>UNUSED</v>
      </c>
    </row>
    <row r="17" spans="1:8" ht="27.6">
      <c r="A17" s="6" t="s">
        <v>3</v>
      </c>
      <c r="B17" s="6" t="s">
        <v>93</v>
      </c>
      <c r="C17" s="6" t="s">
        <v>5</v>
      </c>
      <c r="D17" s="6" t="s">
        <v>94</v>
      </c>
      <c r="E17" s="6">
        <v>12</v>
      </c>
      <c r="F17" s="5"/>
      <c r="G17" s="9"/>
      <c r="H17" s="7" t="str">
        <f t="shared" si="0"/>
        <v>UNUSED</v>
      </c>
    </row>
    <row r="18" spans="1:8" ht="27.6">
      <c r="A18" s="6" t="s">
        <v>3</v>
      </c>
      <c r="B18" s="6" t="s">
        <v>99</v>
      </c>
      <c r="C18" s="6" t="s">
        <v>5</v>
      </c>
      <c r="D18" s="6" t="s">
        <v>100</v>
      </c>
      <c r="E18" s="6">
        <v>1</v>
      </c>
      <c r="F18" s="5" t="s">
        <v>139</v>
      </c>
      <c r="G18" s="9">
        <v>46243.618067129632</v>
      </c>
      <c r="H18" s="7" t="str">
        <f t="shared" si="0"/>
        <v>PASS</v>
      </c>
    </row>
    <row r="19" spans="1:8" ht="27.6">
      <c r="A19" s="6" t="s">
        <v>3</v>
      </c>
      <c r="B19" s="6" t="s">
        <v>99</v>
      </c>
      <c r="C19" s="6" t="s">
        <v>5</v>
      </c>
      <c r="D19" s="6" t="s">
        <v>100</v>
      </c>
      <c r="E19" s="6">
        <v>2</v>
      </c>
      <c r="F19" s="5" t="s">
        <v>140</v>
      </c>
      <c r="G19" s="9">
        <v>46243.618356481486</v>
      </c>
      <c r="H19" s="7" t="str">
        <f t="shared" si="0"/>
        <v>PASS</v>
      </c>
    </row>
    <row r="20" spans="1:8" ht="27.6">
      <c r="A20" s="6" t="s">
        <v>3</v>
      </c>
      <c r="B20" s="6" t="s">
        <v>99</v>
      </c>
      <c r="C20" s="6" t="s">
        <v>5</v>
      </c>
      <c r="D20" s="6" t="s">
        <v>100</v>
      </c>
      <c r="E20" s="6">
        <v>3</v>
      </c>
      <c r="F20" s="5" t="s">
        <v>141</v>
      </c>
      <c r="G20" s="9">
        <v>46243.618668981486</v>
      </c>
      <c r="H20" s="7" t="str">
        <f t="shared" si="0"/>
        <v>PASS</v>
      </c>
    </row>
    <row r="21" spans="1:8" ht="27.6">
      <c r="A21" s="6" t="s">
        <v>3</v>
      </c>
      <c r="B21" s="6" t="s">
        <v>99</v>
      </c>
      <c r="C21" s="6" t="s">
        <v>5</v>
      </c>
      <c r="D21" s="6" t="s">
        <v>100</v>
      </c>
      <c r="E21" s="6">
        <v>4</v>
      </c>
      <c r="F21" s="5" t="s">
        <v>142</v>
      </c>
      <c r="G21" s="9">
        <v>46243.61891203704</v>
      </c>
      <c r="H21" s="7" t="str">
        <f t="shared" si="0"/>
        <v>PASS</v>
      </c>
    </row>
    <row r="22" spans="1:8" ht="27.6">
      <c r="A22" s="6" t="s">
        <v>3</v>
      </c>
      <c r="B22" s="6" t="s">
        <v>99</v>
      </c>
      <c r="C22" s="6" t="s">
        <v>5</v>
      </c>
      <c r="D22" s="6" t="s">
        <v>100</v>
      </c>
      <c r="E22" s="6">
        <v>5</v>
      </c>
      <c r="F22" s="5" t="s">
        <v>143</v>
      </c>
      <c r="G22" s="9">
        <v>46243.619155092594</v>
      </c>
      <c r="H22" s="7" t="str">
        <f t="shared" si="0"/>
        <v>PASS</v>
      </c>
    </row>
    <row r="23" spans="1:8" ht="27.6">
      <c r="A23" s="6" t="s">
        <v>3</v>
      </c>
      <c r="B23" s="6" t="s">
        <v>99</v>
      </c>
      <c r="C23" s="6" t="s">
        <v>5</v>
      </c>
      <c r="D23" s="6" t="s">
        <v>100</v>
      </c>
      <c r="E23" s="6">
        <v>6</v>
      </c>
      <c r="F23" s="5" t="s">
        <v>144</v>
      </c>
      <c r="G23" s="9">
        <v>46243.619363425925</v>
      </c>
      <c r="H23" s="7" t="str">
        <f t="shared" si="0"/>
        <v>PASS</v>
      </c>
    </row>
    <row r="24" spans="1:8" ht="27.6">
      <c r="A24" s="6" t="s">
        <v>3</v>
      </c>
      <c r="B24" s="6" t="s">
        <v>99</v>
      </c>
      <c r="C24" s="6" t="s">
        <v>5</v>
      </c>
      <c r="D24" s="6" t="s">
        <v>100</v>
      </c>
      <c r="E24" s="6">
        <v>7</v>
      </c>
      <c r="F24" s="5" t="s">
        <v>145</v>
      </c>
      <c r="G24" s="9">
        <v>46243.61954861111</v>
      </c>
      <c r="H24" s="7" t="str">
        <f t="shared" si="0"/>
        <v>PASS</v>
      </c>
    </row>
    <row r="25" spans="1:8" ht="27.6">
      <c r="A25" s="6" t="s">
        <v>3</v>
      </c>
      <c r="B25" s="6" t="s">
        <v>99</v>
      </c>
      <c r="C25" s="6" t="s">
        <v>5</v>
      </c>
      <c r="D25" s="6" t="s">
        <v>100</v>
      </c>
      <c r="E25" s="6">
        <v>8</v>
      </c>
      <c r="F25" s="5"/>
      <c r="G25" s="9"/>
      <c r="H25" s="7" t="str">
        <f t="shared" si="0"/>
        <v>UNUSED</v>
      </c>
    </row>
    <row r="26" spans="1:8" ht="27.6">
      <c r="A26" s="6" t="s">
        <v>3</v>
      </c>
      <c r="B26" s="6" t="s">
        <v>99</v>
      </c>
      <c r="C26" s="6" t="s">
        <v>5</v>
      </c>
      <c r="D26" s="6" t="s">
        <v>100</v>
      </c>
      <c r="E26" s="6">
        <v>9</v>
      </c>
      <c r="F26" s="5"/>
      <c r="G26" s="9"/>
      <c r="H26" s="7" t="str">
        <f t="shared" si="0"/>
        <v>UNUSED</v>
      </c>
    </row>
    <row r="27" spans="1:8" ht="27.6">
      <c r="A27" s="6" t="s">
        <v>3</v>
      </c>
      <c r="B27" s="6" t="s">
        <v>99</v>
      </c>
      <c r="C27" s="6" t="s">
        <v>5</v>
      </c>
      <c r="D27" s="6" t="s">
        <v>100</v>
      </c>
      <c r="E27" s="6">
        <v>10</v>
      </c>
      <c r="F27" s="5"/>
      <c r="G27" s="9"/>
      <c r="H27" s="7" t="str">
        <f t="shared" si="0"/>
        <v>UNUSED</v>
      </c>
    </row>
    <row r="28" spans="1:8" ht="27.6">
      <c r="A28" s="6" t="s">
        <v>3</v>
      </c>
      <c r="B28" s="6" t="s">
        <v>99</v>
      </c>
      <c r="C28" s="6" t="s">
        <v>5</v>
      </c>
      <c r="D28" s="6" t="s">
        <v>100</v>
      </c>
      <c r="E28" s="6">
        <v>11</v>
      </c>
      <c r="F28" s="5"/>
      <c r="G28" s="9"/>
      <c r="H28" s="7" t="str">
        <f t="shared" si="0"/>
        <v>UNUSED</v>
      </c>
    </row>
    <row r="29" spans="1:8" ht="27.6">
      <c r="A29" s="6" t="s">
        <v>3</v>
      </c>
      <c r="B29" s="6" t="s">
        <v>99</v>
      </c>
      <c r="C29" s="6" t="s">
        <v>5</v>
      </c>
      <c r="D29" s="6" t="s">
        <v>100</v>
      </c>
      <c r="E29" s="6">
        <v>12</v>
      </c>
      <c r="F29" s="5"/>
      <c r="G29" s="9"/>
      <c r="H29" s="7" t="str">
        <f t="shared" si="0"/>
        <v>UNUSED</v>
      </c>
    </row>
    <row r="30" spans="1:8" ht="27.6">
      <c r="A30" s="6" t="s">
        <v>3</v>
      </c>
      <c r="B30" s="6" t="s">
        <v>103</v>
      </c>
      <c r="C30" s="6" t="s">
        <v>5</v>
      </c>
      <c r="D30" s="6" t="s">
        <v>104</v>
      </c>
      <c r="E30" s="6">
        <v>1</v>
      </c>
      <c r="F30" s="5" t="s">
        <v>146</v>
      </c>
      <c r="G30" s="9">
        <v>46243.620486111111</v>
      </c>
      <c r="H30" s="7" t="str">
        <f t="shared" si="0"/>
        <v>PASS</v>
      </c>
    </row>
    <row r="31" spans="1:8" ht="27.6">
      <c r="A31" s="6" t="s">
        <v>3</v>
      </c>
      <c r="B31" s="6" t="s">
        <v>103</v>
      </c>
      <c r="C31" s="6" t="s">
        <v>5</v>
      </c>
      <c r="D31" s="6" t="s">
        <v>104</v>
      </c>
      <c r="E31" s="6">
        <v>2</v>
      </c>
      <c r="F31" s="5" t="s">
        <v>147</v>
      </c>
      <c r="G31" s="9">
        <v>46243.620706018519</v>
      </c>
      <c r="H31" s="7" t="str">
        <f t="shared" si="0"/>
        <v>PASS</v>
      </c>
    </row>
    <row r="32" spans="1:8" ht="27.6">
      <c r="A32" s="6" t="s">
        <v>3</v>
      </c>
      <c r="B32" s="6" t="s">
        <v>103</v>
      </c>
      <c r="C32" s="6" t="s">
        <v>5</v>
      </c>
      <c r="D32" s="6" t="s">
        <v>104</v>
      </c>
      <c r="E32" s="6">
        <v>3</v>
      </c>
      <c r="F32" s="5" t="s">
        <v>148</v>
      </c>
      <c r="G32" s="9">
        <v>46243.620914351857</v>
      </c>
      <c r="H32" s="7" t="str">
        <f t="shared" si="0"/>
        <v>PASS</v>
      </c>
    </row>
    <row r="33" spans="1:8" ht="27.6">
      <c r="A33" s="6" t="s">
        <v>3</v>
      </c>
      <c r="B33" s="6" t="s">
        <v>103</v>
      </c>
      <c r="C33" s="6" t="s">
        <v>5</v>
      </c>
      <c r="D33" s="6" t="s">
        <v>104</v>
      </c>
      <c r="E33" s="6">
        <v>4</v>
      </c>
      <c r="F33" s="5" t="s">
        <v>149</v>
      </c>
      <c r="G33" s="9">
        <v>46243.621099537042</v>
      </c>
      <c r="H33" s="7" t="str">
        <f t="shared" si="0"/>
        <v>PASS</v>
      </c>
    </row>
    <row r="34" spans="1:8" ht="27.6">
      <c r="A34" s="6" t="s">
        <v>3</v>
      </c>
      <c r="B34" s="6" t="s">
        <v>103</v>
      </c>
      <c r="C34" s="6" t="s">
        <v>5</v>
      </c>
      <c r="D34" s="6" t="s">
        <v>104</v>
      </c>
      <c r="E34" s="6">
        <v>5</v>
      </c>
      <c r="F34" s="5" t="s">
        <v>150</v>
      </c>
      <c r="G34" s="9">
        <v>46243.621388888889</v>
      </c>
      <c r="H34" s="7" t="str">
        <f t="shared" si="0"/>
        <v>PASS</v>
      </c>
    </row>
    <row r="35" spans="1:8" ht="27.6">
      <c r="A35" s="6" t="s">
        <v>3</v>
      </c>
      <c r="B35" s="6" t="s">
        <v>103</v>
      </c>
      <c r="C35" s="6" t="s">
        <v>5</v>
      </c>
      <c r="D35" s="6" t="s">
        <v>104</v>
      </c>
      <c r="E35" s="6">
        <v>6</v>
      </c>
      <c r="F35" s="5" t="s">
        <v>151</v>
      </c>
      <c r="G35" s="9">
        <v>46243.621712962966</v>
      </c>
      <c r="H35" s="7" t="str">
        <f t="shared" si="0"/>
        <v>PASS</v>
      </c>
    </row>
    <row r="36" spans="1:8" ht="27.6">
      <c r="A36" s="6" t="s">
        <v>3</v>
      </c>
      <c r="B36" s="6" t="s">
        <v>103</v>
      </c>
      <c r="C36" s="6" t="s">
        <v>5</v>
      </c>
      <c r="D36" s="6" t="s">
        <v>104</v>
      </c>
      <c r="E36" s="6">
        <v>7</v>
      </c>
      <c r="F36" s="5"/>
      <c r="G36" s="9"/>
      <c r="H36" s="7" t="str">
        <f t="shared" si="0"/>
        <v>UNUSED</v>
      </c>
    </row>
    <row r="37" spans="1:8" ht="27.6">
      <c r="A37" s="6" t="s">
        <v>3</v>
      </c>
      <c r="B37" s="6" t="s">
        <v>103</v>
      </c>
      <c r="C37" s="6" t="s">
        <v>5</v>
      </c>
      <c r="D37" s="6" t="s">
        <v>104</v>
      </c>
      <c r="E37" s="6">
        <v>8</v>
      </c>
      <c r="F37" s="5"/>
      <c r="G37" s="9"/>
      <c r="H37" s="7" t="str">
        <f t="shared" si="0"/>
        <v>UNUSED</v>
      </c>
    </row>
    <row r="38" spans="1:8" ht="27.6">
      <c r="A38" s="6" t="s">
        <v>3</v>
      </c>
      <c r="B38" s="6" t="s">
        <v>103</v>
      </c>
      <c r="C38" s="6" t="s">
        <v>5</v>
      </c>
      <c r="D38" s="6" t="s">
        <v>104</v>
      </c>
      <c r="E38" s="6">
        <v>9</v>
      </c>
      <c r="F38" s="5"/>
      <c r="G38" s="9"/>
      <c r="H38" s="7" t="str">
        <f t="shared" ref="H38:H69" si="1">IF(AND($F38="",$G38=""),"UNUSED",IF(AND($F38&lt;&gt;"",$G38&lt;&gt;""),"PASS","PARTIAL"))</f>
        <v>UNUSED</v>
      </c>
    </row>
    <row r="39" spans="1:8" ht="27.6">
      <c r="A39" s="6" t="s">
        <v>3</v>
      </c>
      <c r="B39" s="6" t="s">
        <v>103</v>
      </c>
      <c r="C39" s="6" t="s">
        <v>5</v>
      </c>
      <c r="D39" s="6" t="s">
        <v>104</v>
      </c>
      <c r="E39" s="6">
        <v>10</v>
      </c>
      <c r="F39" s="5"/>
      <c r="G39" s="9"/>
      <c r="H39" s="7" t="str">
        <f t="shared" si="1"/>
        <v>UNUSED</v>
      </c>
    </row>
    <row r="40" spans="1:8" ht="27.6">
      <c r="A40" s="6" t="s">
        <v>3</v>
      </c>
      <c r="B40" s="6" t="s">
        <v>103</v>
      </c>
      <c r="C40" s="6" t="s">
        <v>5</v>
      </c>
      <c r="D40" s="6" t="s">
        <v>104</v>
      </c>
      <c r="E40" s="6">
        <v>11</v>
      </c>
      <c r="F40" s="5"/>
      <c r="G40" s="9"/>
      <c r="H40" s="7" t="str">
        <f t="shared" si="1"/>
        <v>UNUSED</v>
      </c>
    </row>
    <row r="41" spans="1:8" ht="27.6">
      <c r="A41" s="6" t="s">
        <v>3</v>
      </c>
      <c r="B41" s="6" t="s">
        <v>103</v>
      </c>
      <c r="C41" s="6" t="s">
        <v>5</v>
      </c>
      <c r="D41" s="6" t="s">
        <v>104</v>
      </c>
      <c r="E41" s="6">
        <v>12</v>
      </c>
      <c r="F41" s="5"/>
      <c r="G41" s="9"/>
      <c r="H41" s="7" t="str">
        <f t="shared" si="1"/>
        <v>UNUSED</v>
      </c>
    </row>
    <row r="42" spans="1:8" ht="27.6">
      <c r="A42" s="6" t="s">
        <v>3</v>
      </c>
      <c r="B42" s="6" t="s">
        <v>107</v>
      </c>
      <c r="C42" s="6" t="s">
        <v>5</v>
      </c>
      <c r="D42" s="6" t="s">
        <v>108</v>
      </c>
      <c r="E42" s="6">
        <v>1</v>
      </c>
      <c r="F42" s="5" t="s">
        <v>152</v>
      </c>
      <c r="G42" s="9">
        <v>46243.622615740744</v>
      </c>
      <c r="H42" s="7" t="str">
        <f t="shared" si="1"/>
        <v>PASS</v>
      </c>
    </row>
    <row r="43" spans="1:8" ht="27.6">
      <c r="A43" s="6" t="s">
        <v>3</v>
      </c>
      <c r="B43" s="6" t="s">
        <v>107</v>
      </c>
      <c r="C43" s="6" t="s">
        <v>5</v>
      </c>
      <c r="D43" s="6" t="s">
        <v>108</v>
      </c>
      <c r="E43" s="6">
        <v>2</v>
      </c>
      <c r="F43" s="5" t="s">
        <v>153</v>
      </c>
      <c r="G43" s="9">
        <v>46243.622939814821</v>
      </c>
      <c r="H43" s="7" t="str">
        <f t="shared" si="1"/>
        <v>PASS</v>
      </c>
    </row>
    <row r="44" spans="1:8" ht="27.6">
      <c r="A44" s="6" t="s">
        <v>3</v>
      </c>
      <c r="B44" s="6" t="s">
        <v>107</v>
      </c>
      <c r="C44" s="6" t="s">
        <v>5</v>
      </c>
      <c r="D44" s="6" t="s">
        <v>108</v>
      </c>
      <c r="E44" s="6">
        <v>3</v>
      </c>
      <c r="F44" s="5" t="s">
        <v>154</v>
      </c>
      <c r="G44" s="9">
        <v>46243.623275462967</v>
      </c>
      <c r="H44" s="7" t="str">
        <f t="shared" si="1"/>
        <v>PASS</v>
      </c>
    </row>
    <row r="45" spans="1:8" ht="27.6">
      <c r="A45" s="6" t="s">
        <v>3</v>
      </c>
      <c r="B45" s="6" t="s">
        <v>107</v>
      </c>
      <c r="C45" s="6" t="s">
        <v>5</v>
      </c>
      <c r="D45" s="6" t="s">
        <v>108</v>
      </c>
      <c r="E45" s="6">
        <v>4</v>
      </c>
      <c r="F45" s="5" t="s">
        <v>155</v>
      </c>
      <c r="G45" s="9">
        <v>46243.623495370375</v>
      </c>
      <c r="H45" s="7" t="str">
        <f t="shared" si="1"/>
        <v>PASS</v>
      </c>
    </row>
    <row r="46" spans="1:8" ht="27.6">
      <c r="A46" s="6" t="s">
        <v>3</v>
      </c>
      <c r="B46" s="6" t="s">
        <v>107</v>
      </c>
      <c r="C46" s="6" t="s">
        <v>5</v>
      </c>
      <c r="D46" s="6" t="s">
        <v>108</v>
      </c>
      <c r="E46" s="6">
        <v>5</v>
      </c>
      <c r="F46" s="5" t="s">
        <v>156</v>
      </c>
      <c r="G46" s="9">
        <v>46243.623738425929</v>
      </c>
      <c r="H46" s="7" t="str">
        <f t="shared" si="1"/>
        <v>PASS</v>
      </c>
    </row>
    <row r="47" spans="1:8" ht="27.6">
      <c r="A47" s="6" t="s">
        <v>3</v>
      </c>
      <c r="B47" s="6" t="s">
        <v>107</v>
      </c>
      <c r="C47" s="6" t="s">
        <v>5</v>
      </c>
      <c r="D47" s="6" t="s">
        <v>108</v>
      </c>
      <c r="E47" s="6">
        <v>6</v>
      </c>
      <c r="F47" s="5" t="s">
        <v>157</v>
      </c>
      <c r="G47" s="9">
        <v>46243.62405092593</v>
      </c>
      <c r="H47" s="7" t="str">
        <f t="shared" si="1"/>
        <v>PASS</v>
      </c>
    </row>
    <row r="48" spans="1:8" ht="27.6">
      <c r="A48" s="6" t="s">
        <v>3</v>
      </c>
      <c r="B48" s="6" t="s">
        <v>107</v>
      </c>
      <c r="C48" s="6" t="s">
        <v>5</v>
      </c>
      <c r="D48" s="6" t="s">
        <v>108</v>
      </c>
      <c r="E48" s="6">
        <v>7</v>
      </c>
      <c r="F48" s="5" t="s">
        <v>158</v>
      </c>
      <c r="G48" s="9">
        <v>46243.624293981484</v>
      </c>
      <c r="H48" s="7" t="str">
        <f t="shared" si="1"/>
        <v>PASS</v>
      </c>
    </row>
    <row r="49" spans="1:8" ht="27.6">
      <c r="A49" s="6" t="s">
        <v>3</v>
      </c>
      <c r="B49" s="6" t="s">
        <v>107</v>
      </c>
      <c r="C49" s="6" t="s">
        <v>5</v>
      </c>
      <c r="D49" s="6" t="s">
        <v>108</v>
      </c>
      <c r="E49" s="6">
        <v>8</v>
      </c>
      <c r="F49" s="5"/>
      <c r="G49" s="9"/>
      <c r="H49" s="7" t="str">
        <f t="shared" si="1"/>
        <v>UNUSED</v>
      </c>
    </row>
    <row r="50" spans="1:8" ht="27.6">
      <c r="A50" s="6" t="s">
        <v>3</v>
      </c>
      <c r="B50" s="6" t="s">
        <v>107</v>
      </c>
      <c r="C50" s="6" t="s">
        <v>5</v>
      </c>
      <c r="D50" s="6" t="s">
        <v>108</v>
      </c>
      <c r="E50" s="6">
        <v>9</v>
      </c>
      <c r="F50" s="5"/>
      <c r="G50" s="9"/>
      <c r="H50" s="7" t="str">
        <f t="shared" si="1"/>
        <v>UNUSED</v>
      </c>
    </row>
    <row r="51" spans="1:8" ht="27.6">
      <c r="A51" s="6" t="s">
        <v>3</v>
      </c>
      <c r="B51" s="6" t="s">
        <v>107</v>
      </c>
      <c r="C51" s="6" t="s">
        <v>5</v>
      </c>
      <c r="D51" s="6" t="s">
        <v>108</v>
      </c>
      <c r="E51" s="6">
        <v>10</v>
      </c>
      <c r="F51" s="5"/>
      <c r="G51" s="9"/>
      <c r="H51" s="7" t="str">
        <f t="shared" si="1"/>
        <v>UNUSED</v>
      </c>
    </row>
    <row r="52" spans="1:8" ht="27.6">
      <c r="A52" s="6" t="s">
        <v>3</v>
      </c>
      <c r="B52" s="6" t="s">
        <v>107</v>
      </c>
      <c r="C52" s="6" t="s">
        <v>5</v>
      </c>
      <c r="D52" s="6" t="s">
        <v>108</v>
      </c>
      <c r="E52" s="6">
        <v>11</v>
      </c>
      <c r="F52" s="5"/>
      <c r="G52" s="9"/>
      <c r="H52" s="7" t="str">
        <f t="shared" si="1"/>
        <v>UNUSED</v>
      </c>
    </row>
    <row r="53" spans="1:8" ht="27.6">
      <c r="A53" s="6" t="s">
        <v>3</v>
      </c>
      <c r="B53" s="6" t="s">
        <v>107</v>
      </c>
      <c r="C53" s="6" t="s">
        <v>5</v>
      </c>
      <c r="D53" s="6" t="s">
        <v>108</v>
      </c>
      <c r="E53" s="6">
        <v>12</v>
      </c>
      <c r="F53" s="5"/>
      <c r="G53" s="9"/>
      <c r="H53" s="7" t="str">
        <f t="shared" si="1"/>
        <v>UNUSED</v>
      </c>
    </row>
    <row r="54" spans="1:8" ht="27.6">
      <c r="A54" s="6" t="s">
        <v>3</v>
      </c>
      <c r="B54" s="6" t="s">
        <v>110</v>
      </c>
      <c r="C54" s="6" t="s">
        <v>5</v>
      </c>
      <c r="D54" s="6" t="s">
        <v>111</v>
      </c>
      <c r="E54" s="6">
        <v>1</v>
      </c>
      <c r="F54" s="5" t="s">
        <v>159</v>
      </c>
      <c r="G54" s="9">
        <v>46243.625069444446</v>
      </c>
      <c r="H54" s="7" t="str">
        <f t="shared" si="1"/>
        <v>PASS</v>
      </c>
    </row>
    <row r="55" spans="1:8" ht="27.6">
      <c r="A55" s="6" t="s">
        <v>3</v>
      </c>
      <c r="B55" s="6" t="s">
        <v>110</v>
      </c>
      <c r="C55" s="6" t="s">
        <v>5</v>
      </c>
      <c r="D55" s="6" t="s">
        <v>111</v>
      </c>
      <c r="E55" s="6">
        <v>2</v>
      </c>
      <c r="F55" s="5" t="s">
        <v>160</v>
      </c>
      <c r="G55" s="9">
        <v>46243.625254629631</v>
      </c>
      <c r="H55" s="7" t="str">
        <f t="shared" si="1"/>
        <v>PASS</v>
      </c>
    </row>
    <row r="56" spans="1:8" ht="27.6">
      <c r="A56" s="6" t="s">
        <v>3</v>
      </c>
      <c r="B56" s="6" t="s">
        <v>110</v>
      </c>
      <c r="C56" s="6" t="s">
        <v>5</v>
      </c>
      <c r="D56" s="6" t="s">
        <v>111</v>
      </c>
      <c r="E56" s="6">
        <v>3</v>
      </c>
      <c r="F56" s="5" t="s">
        <v>161</v>
      </c>
      <c r="G56" s="9">
        <v>46243.625497685185</v>
      </c>
      <c r="H56" s="7" t="str">
        <f t="shared" si="1"/>
        <v>PASS</v>
      </c>
    </row>
    <row r="57" spans="1:8" ht="27.6">
      <c r="A57" s="6" t="s">
        <v>3</v>
      </c>
      <c r="B57" s="6" t="s">
        <v>110</v>
      </c>
      <c r="C57" s="6" t="s">
        <v>5</v>
      </c>
      <c r="D57" s="6" t="s">
        <v>111</v>
      </c>
      <c r="E57" s="6">
        <v>4</v>
      </c>
      <c r="F57" s="5" t="s">
        <v>162</v>
      </c>
      <c r="G57" s="9">
        <v>46243.625798611116</v>
      </c>
      <c r="H57" s="7" t="str">
        <f t="shared" si="1"/>
        <v>PASS</v>
      </c>
    </row>
    <row r="58" spans="1:8" ht="27.6">
      <c r="A58" s="6" t="s">
        <v>3</v>
      </c>
      <c r="B58" s="6" t="s">
        <v>110</v>
      </c>
      <c r="C58" s="6" t="s">
        <v>5</v>
      </c>
      <c r="D58" s="6" t="s">
        <v>111</v>
      </c>
      <c r="E58" s="6">
        <v>5</v>
      </c>
      <c r="F58" s="5" t="s">
        <v>163</v>
      </c>
      <c r="G58" s="9">
        <v>46243.626087962963</v>
      </c>
      <c r="H58" s="7" t="str">
        <f t="shared" si="1"/>
        <v>PASS</v>
      </c>
    </row>
    <row r="59" spans="1:8" ht="27.6">
      <c r="A59" s="6" t="s">
        <v>3</v>
      </c>
      <c r="B59" s="6" t="s">
        <v>110</v>
      </c>
      <c r="C59" s="6" t="s">
        <v>5</v>
      </c>
      <c r="D59" s="6" t="s">
        <v>111</v>
      </c>
      <c r="E59" s="6">
        <v>6</v>
      </c>
      <c r="F59" s="5" t="s">
        <v>164</v>
      </c>
      <c r="G59" s="9">
        <v>46243.626331018524</v>
      </c>
      <c r="H59" s="7" t="str">
        <f t="shared" si="1"/>
        <v>PASS</v>
      </c>
    </row>
    <row r="60" spans="1:8" ht="27.6">
      <c r="A60" s="6" t="s">
        <v>3</v>
      </c>
      <c r="B60" s="6" t="s">
        <v>110</v>
      </c>
      <c r="C60" s="6" t="s">
        <v>5</v>
      </c>
      <c r="D60" s="6" t="s">
        <v>111</v>
      </c>
      <c r="E60" s="6">
        <v>7</v>
      </c>
      <c r="F60" s="5"/>
      <c r="G60" s="9"/>
      <c r="H60" s="7" t="str">
        <f t="shared" si="1"/>
        <v>UNUSED</v>
      </c>
    </row>
    <row r="61" spans="1:8" ht="27.6">
      <c r="A61" s="6" t="s">
        <v>3</v>
      </c>
      <c r="B61" s="6" t="s">
        <v>110</v>
      </c>
      <c r="C61" s="6" t="s">
        <v>5</v>
      </c>
      <c r="D61" s="6" t="s">
        <v>111</v>
      </c>
      <c r="E61" s="6">
        <v>8</v>
      </c>
      <c r="F61" s="5"/>
      <c r="G61" s="9"/>
      <c r="H61" s="7" t="str">
        <f t="shared" si="1"/>
        <v>UNUSED</v>
      </c>
    </row>
    <row r="62" spans="1:8" ht="27.6">
      <c r="A62" s="6" t="s">
        <v>3</v>
      </c>
      <c r="B62" s="6" t="s">
        <v>110</v>
      </c>
      <c r="C62" s="6" t="s">
        <v>5</v>
      </c>
      <c r="D62" s="6" t="s">
        <v>111</v>
      </c>
      <c r="E62" s="6">
        <v>9</v>
      </c>
      <c r="F62" s="5"/>
      <c r="G62" s="9"/>
      <c r="H62" s="7" t="str">
        <f t="shared" si="1"/>
        <v>UNUSED</v>
      </c>
    </row>
    <row r="63" spans="1:8" ht="27.6">
      <c r="A63" s="6" t="s">
        <v>3</v>
      </c>
      <c r="B63" s="6" t="s">
        <v>110</v>
      </c>
      <c r="C63" s="6" t="s">
        <v>5</v>
      </c>
      <c r="D63" s="6" t="s">
        <v>111</v>
      </c>
      <c r="E63" s="6">
        <v>10</v>
      </c>
      <c r="F63" s="5"/>
      <c r="G63" s="9"/>
      <c r="H63" s="7" t="str">
        <f t="shared" si="1"/>
        <v>UNUSED</v>
      </c>
    </row>
    <row r="64" spans="1:8" ht="27.6">
      <c r="A64" s="6" t="s">
        <v>3</v>
      </c>
      <c r="B64" s="6" t="s">
        <v>110</v>
      </c>
      <c r="C64" s="6" t="s">
        <v>5</v>
      </c>
      <c r="D64" s="6" t="s">
        <v>111</v>
      </c>
      <c r="E64" s="6">
        <v>11</v>
      </c>
      <c r="F64" s="5"/>
      <c r="G64" s="9"/>
      <c r="H64" s="7" t="str">
        <f t="shared" si="1"/>
        <v>UNUSED</v>
      </c>
    </row>
    <row r="65" spans="1:8" ht="27.6">
      <c r="A65" s="6" t="s">
        <v>3</v>
      </c>
      <c r="B65" s="6" t="s">
        <v>110</v>
      </c>
      <c r="C65" s="6" t="s">
        <v>5</v>
      </c>
      <c r="D65" s="6" t="s">
        <v>111</v>
      </c>
      <c r="E65" s="6">
        <v>12</v>
      </c>
      <c r="F65" s="5"/>
      <c r="G65" s="9"/>
      <c r="H65" s="7" t="str">
        <f t="shared" si="1"/>
        <v>UNUSED</v>
      </c>
    </row>
    <row r="66" spans="1:8" ht="27.6">
      <c r="A66" s="6" t="s">
        <v>3</v>
      </c>
      <c r="B66" s="6" t="s">
        <v>113</v>
      </c>
      <c r="C66" s="6" t="s">
        <v>5</v>
      </c>
      <c r="D66" s="6" t="s">
        <v>114</v>
      </c>
      <c r="E66" s="6">
        <v>1</v>
      </c>
      <c r="F66" s="5" t="s">
        <v>165</v>
      </c>
      <c r="G66" s="9">
        <v>46243.627025462964</v>
      </c>
      <c r="H66" s="7" t="str">
        <f t="shared" si="1"/>
        <v>PASS</v>
      </c>
    </row>
    <row r="67" spans="1:8" ht="27.6">
      <c r="A67" s="6" t="s">
        <v>3</v>
      </c>
      <c r="B67" s="6" t="s">
        <v>113</v>
      </c>
      <c r="C67" s="6" t="s">
        <v>5</v>
      </c>
      <c r="D67" s="6" t="s">
        <v>114</v>
      </c>
      <c r="E67" s="6">
        <v>2</v>
      </c>
      <c r="F67" s="5" t="s">
        <v>166</v>
      </c>
      <c r="G67" s="9">
        <v>46243.627280092594</v>
      </c>
      <c r="H67" s="7" t="str">
        <f t="shared" si="1"/>
        <v>PASS</v>
      </c>
    </row>
    <row r="68" spans="1:8" ht="27.6">
      <c r="A68" s="6" t="s">
        <v>3</v>
      </c>
      <c r="B68" s="6" t="s">
        <v>113</v>
      </c>
      <c r="C68" s="6" t="s">
        <v>5</v>
      </c>
      <c r="D68" s="6" t="s">
        <v>114</v>
      </c>
      <c r="E68" s="6">
        <v>3</v>
      </c>
      <c r="F68" s="5" t="s">
        <v>167</v>
      </c>
      <c r="G68" s="9">
        <v>46243.627488425926</v>
      </c>
      <c r="H68" s="7" t="str">
        <f t="shared" si="1"/>
        <v>PASS</v>
      </c>
    </row>
    <row r="69" spans="1:8" ht="27.6">
      <c r="A69" s="6" t="s">
        <v>3</v>
      </c>
      <c r="B69" s="6" t="s">
        <v>113</v>
      </c>
      <c r="C69" s="6" t="s">
        <v>5</v>
      </c>
      <c r="D69" s="6" t="s">
        <v>114</v>
      </c>
      <c r="E69" s="6">
        <v>4</v>
      </c>
      <c r="F69" s="5" t="s">
        <v>168</v>
      </c>
      <c r="G69" s="9">
        <v>46243.627754629633</v>
      </c>
      <c r="H69" s="7" t="str">
        <f t="shared" si="1"/>
        <v>PASS</v>
      </c>
    </row>
    <row r="70" spans="1:8" ht="27.6">
      <c r="A70" s="6" t="s">
        <v>3</v>
      </c>
      <c r="B70" s="6" t="s">
        <v>113</v>
      </c>
      <c r="C70" s="6" t="s">
        <v>5</v>
      </c>
      <c r="D70" s="6" t="s">
        <v>114</v>
      </c>
      <c r="E70" s="6">
        <v>5</v>
      </c>
      <c r="F70" s="5" t="s">
        <v>169</v>
      </c>
      <c r="G70" s="9">
        <v>46243.627939814818</v>
      </c>
      <c r="H70" s="7" t="str">
        <f t="shared" ref="H70:H101" si="2">IF(AND($F70="",$G70=""),"UNUSED",IF(AND($F70&lt;&gt;"",$G70&lt;&gt;""),"PASS","PARTIAL"))</f>
        <v>PASS</v>
      </c>
    </row>
    <row r="71" spans="1:8" ht="27.6">
      <c r="A71" s="6" t="s">
        <v>3</v>
      </c>
      <c r="B71" s="6" t="s">
        <v>113</v>
      </c>
      <c r="C71" s="6" t="s">
        <v>5</v>
      </c>
      <c r="D71" s="6" t="s">
        <v>114</v>
      </c>
      <c r="E71" s="6">
        <v>6</v>
      </c>
      <c r="F71" s="5" t="s">
        <v>170</v>
      </c>
      <c r="G71" s="9">
        <v>46243.628171296295</v>
      </c>
      <c r="H71" s="7" t="str">
        <f t="shared" si="2"/>
        <v>PASS</v>
      </c>
    </row>
    <row r="72" spans="1:8" ht="27.6">
      <c r="A72" s="6" t="s">
        <v>3</v>
      </c>
      <c r="B72" s="6" t="s">
        <v>113</v>
      </c>
      <c r="C72" s="6" t="s">
        <v>5</v>
      </c>
      <c r="D72" s="6" t="s">
        <v>114</v>
      </c>
      <c r="E72" s="6">
        <v>7</v>
      </c>
      <c r="F72" s="5"/>
      <c r="G72" s="9"/>
      <c r="H72" s="7" t="str">
        <f t="shared" si="2"/>
        <v>UNUSED</v>
      </c>
    </row>
    <row r="73" spans="1:8" ht="27.6">
      <c r="A73" s="6" t="s">
        <v>3</v>
      </c>
      <c r="B73" s="6" t="s">
        <v>113</v>
      </c>
      <c r="C73" s="6" t="s">
        <v>5</v>
      </c>
      <c r="D73" s="6" t="s">
        <v>114</v>
      </c>
      <c r="E73" s="6">
        <v>8</v>
      </c>
      <c r="F73" s="5"/>
      <c r="G73" s="9"/>
      <c r="H73" s="7" t="str">
        <f t="shared" si="2"/>
        <v>UNUSED</v>
      </c>
    </row>
    <row r="74" spans="1:8" ht="27.6">
      <c r="A74" s="6" t="s">
        <v>3</v>
      </c>
      <c r="B74" s="6" t="s">
        <v>113</v>
      </c>
      <c r="C74" s="6" t="s">
        <v>5</v>
      </c>
      <c r="D74" s="6" t="s">
        <v>114</v>
      </c>
      <c r="E74" s="6">
        <v>9</v>
      </c>
      <c r="F74" s="5"/>
      <c r="G74" s="9"/>
      <c r="H74" s="7" t="str">
        <f t="shared" si="2"/>
        <v>UNUSED</v>
      </c>
    </row>
    <row r="75" spans="1:8" ht="27.6">
      <c r="A75" s="6" t="s">
        <v>3</v>
      </c>
      <c r="B75" s="6" t="s">
        <v>113</v>
      </c>
      <c r="C75" s="6" t="s">
        <v>5</v>
      </c>
      <c r="D75" s="6" t="s">
        <v>114</v>
      </c>
      <c r="E75" s="6">
        <v>10</v>
      </c>
      <c r="F75" s="5"/>
      <c r="G75" s="9"/>
      <c r="H75" s="7" t="str">
        <f t="shared" si="2"/>
        <v>UNUSED</v>
      </c>
    </row>
    <row r="76" spans="1:8" ht="27.6">
      <c r="A76" s="6" t="s">
        <v>3</v>
      </c>
      <c r="B76" s="6" t="s">
        <v>113</v>
      </c>
      <c r="C76" s="6" t="s">
        <v>5</v>
      </c>
      <c r="D76" s="6" t="s">
        <v>114</v>
      </c>
      <c r="E76" s="6">
        <v>11</v>
      </c>
      <c r="F76" s="5"/>
      <c r="G76" s="9"/>
      <c r="H76" s="7" t="str">
        <f t="shared" si="2"/>
        <v>UNUSED</v>
      </c>
    </row>
    <row r="77" spans="1:8" ht="27.6">
      <c r="A77" s="6" t="s">
        <v>3</v>
      </c>
      <c r="B77" s="6" t="s">
        <v>113</v>
      </c>
      <c r="C77" s="6" t="s">
        <v>5</v>
      </c>
      <c r="D77" s="6" t="s">
        <v>114</v>
      </c>
      <c r="E77" s="6">
        <v>12</v>
      </c>
      <c r="F77" s="5"/>
      <c r="G77" s="9"/>
      <c r="H77" s="7" t="str">
        <f t="shared" si="2"/>
        <v>UNUSED</v>
      </c>
    </row>
    <row r="78" spans="1:8" ht="27.6">
      <c r="A78" s="6" t="s">
        <v>3</v>
      </c>
      <c r="B78" s="6" t="s">
        <v>116</v>
      </c>
      <c r="C78" s="6" t="s">
        <v>5</v>
      </c>
      <c r="D78" s="6" t="s">
        <v>117</v>
      </c>
      <c r="E78" s="6">
        <v>1</v>
      </c>
      <c r="F78" s="5" t="s">
        <v>171</v>
      </c>
      <c r="G78" s="9">
        <v>46243.628784722227</v>
      </c>
      <c r="H78" s="7" t="str">
        <f t="shared" si="2"/>
        <v>PASS</v>
      </c>
    </row>
    <row r="79" spans="1:8" ht="27.6">
      <c r="A79" s="6" t="s">
        <v>3</v>
      </c>
      <c r="B79" s="6" t="s">
        <v>116</v>
      </c>
      <c r="C79" s="6" t="s">
        <v>5</v>
      </c>
      <c r="D79" s="6" t="s">
        <v>117</v>
      </c>
      <c r="E79" s="6">
        <v>2</v>
      </c>
      <c r="F79" s="5" t="s">
        <v>172</v>
      </c>
      <c r="G79" s="9">
        <v>46243.62908564815</v>
      </c>
      <c r="H79" s="7" t="str">
        <f t="shared" si="2"/>
        <v>PASS</v>
      </c>
    </row>
    <row r="80" spans="1:8" ht="27.6">
      <c r="A80" s="6" t="s">
        <v>3</v>
      </c>
      <c r="B80" s="6" t="s">
        <v>116</v>
      </c>
      <c r="C80" s="6" t="s">
        <v>5</v>
      </c>
      <c r="D80" s="6" t="s">
        <v>117</v>
      </c>
      <c r="E80" s="6">
        <v>3</v>
      </c>
      <c r="F80" s="5" t="s">
        <v>173</v>
      </c>
      <c r="G80" s="9">
        <v>46243.629317129635</v>
      </c>
      <c r="H80" s="7" t="str">
        <f t="shared" si="2"/>
        <v>PASS</v>
      </c>
    </row>
    <row r="81" spans="1:8" ht="27.6">
      <c r="A81" s="6" t="s">
        <v>3</v>
      </c>
      <c r="B81" s="6" t="s">
        <v>116</v>
      </c>
      <c r="C81" s="6" t="s">
        <v>5</v>
      </c>
      <c r="D81" s="6" t="s">
        <v>117</v>
      </c>
      <c r="E81" s="6">
        <v>4</v>
      </c>
      <c r="F81" s="5" t="s">
        <v>174</v>
      </c>
      <c r="G81" s="9">
        <v>46243.629490740743</v>
      </c>
      <c r="H81" s="7" t="str">
        <f t="shared" si="2"/>
        <v>PASS</v>
      </c>
    </row>
    <row r="82" spans="1:8" ht="27.6">
      <c r="A82" s="6" t="s">
        <v>3</v>
      </c>
      <c r="B82" s="6" t="s">
        <v>116</v>
      </c>
      <c r="C82" s="6" t="s">
        <v>5</v>
      </c>
      <c r="D82" s="6" t="s">
        <v>117</v>
      </c>
      <c r="E82" s="6">
        <v>5</v>
      </c>
      <c r="F82" s="5" t="s">
        <v>175</v>
      </c>
      <c r="G82" s="9">
        <v>46243.629710648151</v>
      </c>
      <c r="H82" s="7" t="str">
        <f t="shared" si="2"/>
        <v>PASS</v>
      </c>
    </row>
    <row r="83" spans="1:8" ht="27.6">
      <c r="A83" s="6" t="s">
        <v>3</v>
      </c>
      <c r="B83" s="6" t="s">
        <v>116</v>
      </c>
      <c r="C83" s="6" t="s">
        <v>5</v>
      </c>
      <c r="D83" s="6" t="s">
        <v>117</v>
      </c>
      <c r="E83" s="6">
        <v>6</v>
      </c>
      <c r="F83" s="5"/>
      <c r="G83" s="9"/>
      <c r="H83" s="7" t="str">
        <f t="shared" si="2"/>
        <v>UNUSED</v>
      </c>
    </row>
    <row r="84" spans="1:8" ht="27.6">
      <c r="A84" s="6" t="s">
        <v>3</v>
      </c>
      <c r="B84" s="6" t="s">
        <v>116</v>
      </c>
      <c r="C84" s="6" t="s">
        <v>5</v>
      </c>
      <c r="D84" s="6" t="s">
        <v>117</v>
      </c>
      <c r="E84" s="6">
        <v>7</v>
      </c>
      <c r="F84" s="5"/>
      <c r="G84" s="9"/>
      <c r="H84" s="7" t="str">
        <f t="shared" si="2"/>
        <v>UNUSED</v>
      </c>
    </row>
    <row r="85" spans="1:8" ht="27.6">
      <c r="A85" s="6" t="s">
        <v>3</v>
      </c>
      <c r="B85" s="6" t="s">
        <v>116</v>
      </c>
      <c r="C85" s="6" t="s">
        <v>5</v>
      </c>
      <c r="D85" s="6" t="s">
        <v>117</v>
      </c>
      <c r="E85" s="6">
        <v>8</v>
      </c>
      <c r="F85" s="5"/>
      <c r="G85" s="9"/>
      <c r="H85" s="7" t="str">
        <f t="shared" si="2"/>
        <v>UNUSED</v>
      </c>
    </row>
    <row r="86" spans="1:8" ht="27.6">
      <c r="A86" s="6" t="s">
        <v>3</v>
      </c>
      <c r="B86" s="6" t="s">
        <v>116</v>
      </c>
      <c r="C86" s="6" t="s">
        <v>5</v>
      </c>
      <c r="D86" s="6" t="s">
        <v>117</v>
      </c>
      <c r="E86" s="6">
        <v>9</v>
      </c>
      <c r="F86" s="5"/>
      <c r="G86" s="9"/>
      <c r="H86" s="7" t="str">
        <f t="shared" si="2"/>
        <v>UNUSED</v>
      </c>
    </row>
    <row r="87" spans="1:8" ht="27.6">
      <c r="A87" s="6" t="s">
        <v>3</v>
      </c>
      <c r="B87" s="6" t="s">
        <v>116</v>
      </c>
      <c r="C87" s="6" t="s">
        <v>5</v>
      </c>
      <c r="D87" s="6" t="s">
        <v>117</v>
      </c>
      <c r="E87" s="6">
        <v>10</v>
      </c>
      <c r="F87" s="5"/>
      <c r="G87" s="9"/>
      <c r="H87" s="7" t="str">
        <f t="shared" si="2"/>
        <v>UNUSED</v>
      </c>
    </row>
    <row r="88" spans="1:8" ht="27.6">
      <c r="A88" s="6" t="s">
        <v>3</v>
      </c>
      <c r="B88" s="6" t="s">
        <v>116</v>
      </c>
      <c r="C88" s="6" t="s">
        <v>5</v>
      </c>
      <c r="D88" s="6" t="s">
        <v>117</v>
      </c>
      <c r="E88" s="6">
        <v>11</v>
      </c>
      <c r="F88" s="5"/>
      <c r="G88" s="9"/>
      <c r="H88" s="7" t="str">
        <f t="shared" si="2"/>
        <v>UNUSED</v>
      </c>
    </row>
    <row r="89" spans="1:8" ht="27.6">
      <c r="A89" s="6" t="s">
        <v>3</v>
      </c>
      <c r="B89" s="6" t="s">
        <v>116</v>
      </c>
      <c r="C89" s="6" t="s">
        <v>5</v>
      </c>
      <c r="D89" s="6" t="s">
        <v>117</v>
      </c>
      <c r="E89" s="6">
        <v>12</v>
      </c>
      <c r="F89" s="5"/>
      <c r="G89" s="9"/>
      <c r="H89" s="7" t="str">
        <f t="shared" si="2"/>
        <v>UNUSED</v>
      </c>
    </row>
    <row r="90" spans="1:8" ht="27.6">
      <c r="A90" s="6" t="s">
        <v>3</v>
      </c>
      <c r="B90" s="6" t="s">
        <v>120</v>
      </c>
      <c r="C90" s="6" t="s">
        <v>5</v>
      </c>
      <c r="D90" s="6" t="s">
        <v>121</v>
      </c>
      <c r="E90" s="6">
        <v>1</v>
      </c>
      <c r="F90" s="5" t="s">
        <v>176</v>
      </c>
      <c r="G90" s="9">
        <v>46243.630358796298</v>
      </c>
      <c r="H90" s="7" t="str">
        <f t="shared" si="2"/>
        <v>PASS</v>
      </c>
    </row>
    <row r="91" spans="1:8" ht="27.6">
      <c r="A91" s="6" t="s">
        <v>3</v>
      </c>
      <c r="B91" s="6" t="s">
        <v>120</v>
      </c>
      <c r="C91" s="6" t="s">
        <v>5</v>
      </c>
      <c r="D91" s="6" t="s">
        <v>121</v>
      </c>
      <c r="E91" s="6">
        <v>2</v>
      </c>
      <c r="F91" s="5" t="s">
        <v>177</v>
      </c>
      <c r="G91" s="9">
        <v>46243.630601851852</v>
      </c>
      <c r="H91" s="7" t="str">
        <f t="shared" si="2"/>
        <v>PASS</v>
      </c>
    </row>
    <row r="92" spans="1:8" ht="27.6">
      <c r="A92" s="6" t="s">
        <v>3</v>
      </c>
      <c r="B92" s="6" t="s">
        <v>120</v>
      </c>
      <c r="C92" s="6" t="s">
        <v>5</v>
      </c>
      <c r="D92" s="6" t="s">
        <v>121</v>
      </c>
      <c r="E92" s="6">
        <v>3</v>
      </c>
      <c r="F92" s="5" t="s">
        <v>178</v>
      </c>
      <c r="G92" s="9">
        <v>46243.630798611113</v>
      </c>
      <c r="H92" s="7" t="str">
        <f t="shared" si="2"/>
        <v>PASS</v>
      </c>
    </row>
    <row r="93" spans="1:8" ht="27.6">
      <c r="A93" s="6" t="s">
        <v>3</v>
      </c>
      <c r="B93" s="6" t="s">
        <v>120</v>
      </c>
      <c r="C93" s="6" t="s">
        <v>5</v>
      </c>
      <c r="D93" s="6" t="s">
        <v>121</v>
      </c>
      <c r="E93" s="6">
        <v>4</v>
      </c>
      <c r="F93" s="5" t="s">
        <v>179</v>
      </c>
      <c r="G93" s="9">
        <v>46243.631018518521</v>
      </c>
      <c r="H93" s="7" t="str">
        <f t="shared" si="2"/>
        <v>PASS</v>
      </c>
    </row>
    <row r="94" spans="1:8" ht="27.6">
      <c r="A94" s="6" t="s">
        <v>3</v>
      </c>
      <c r="B94" s="6" t="s">
        <v>120</v>
      </c>
      <c r="C94" s="6" t="s">
        <v>5</v>
      </c>
      <c r="D94" s="6" t="s">
        <v>121</v>
      </c>
      <c r="E94" s="6">
        <v>5</v>
      </c>
      <c r="F94" s="5"/>
      <c r="G94" s="9"/>
      <c r="H94" s="7" t="str">
        <f t="shared" si="2"/>
        <v>UNUSED</v>
      </c>
    </row>
    <row r="95" spans="1:8" ht="27.6">
      <c r="A95" s="6" t="s">
        <v>3</v>
      </c>
      <c r="B95" s="6" t="s">
        <v>120</v>
      </c>
      <c r="C95" s="6" t="s">
        <v>5</v>
      </c>
      <c r="D95" s="6" t="s">
        <v>121</v>
      </c>
      <c r="E95" s="6">
        <v>6</v>
      </c>
      <c r="F95" s="5"/>
      <c r="G95" s="9"/>
      <c r="H95" s="7" t="str">
        <f t="shared" si="2"/>
        <v>UNUSED</v>
      </c>
    </row>
    <row r="96" spans="1:8" ht="27.6">
      <c r="A96" s="6" t="s">
        <v>3</v>
      </c>
      <c r="B96" s="6" t="s">
        <v>120</v>
      </c>
      <c r="C96" s="6" t="s">
        <v>5</v>
      </c>
      <c r="D96" s="6" t="s">
        <v>121</v>
      </c>
      <c r="E96" s="6">
        <v>7</v>
      </c>
      <c r="F96" s="5"/>
      <c r="G96" s="9"/>
      <c r="H96" s="7" t="str">
        <f t="shared" si="2"/>
        <v>UNUSED</v>
      </c>
    </row>
    <row r="97" spans="1:8" ht="27.6">
      <c r="A97" s="6" t="s">
        <v>3</v>
      </c>
      <c r="B97" s="6" t="s">
        <v>120</v>
      </c>
      <c r="C97" s="6" t="s">
        <v>5</v>
      </c>
      <c r="D97" s="6" t="s">
        <v>121</v>
      </c>
      <c r="E97" s="6">
        <v>8</v>
      </c>
      <c r="F97" s="5"/>
      <c r="G97" s="9"/>
      <c r="H97" s="7" t="str">
        <f t="shared" si="2"/>
        <v>UNUSED</v>
      </c>
    </row>
    <row r="98" spans="1:8" ht="27.6">
      <c r="A98" s="6" t="s">
        <v>3</v>
      </c>
      <c r="B98" s="6" t="s">
        <v>120</v>
      </c>
      <c r="C98" s="6" t="s">
        <v>5</v>
      </c>
      <c r="D98" s="6" t="s">
        <v>121</v>
      </c>
      <c r="E98" s="6">
        <v>9</v>
      </c>
      <c r="F98" s="5"/>
      <c r="G98" s="9"/>
      <c r="H98" s="7" t="str">
        <f t="shared" si="2"/>
        <v>UNUSED</v>
      </c>
    </row>
    <row r="99" spans="1:8" ht="27.6">
      <c r="A99" s="6" t="s">
        <v>3</v>
      </c>
      <c r="B99" s="6" t="s">
        <v>120</v>
      </c>
      <c r="C99" s="6" t="s">
        <v>5</v>
      </c>
      <c r="D99" s="6" t="s">
        <v>121</v>
      </c>
      <c r="E99" s="6">
        <v>10</v>
      </c>
      <c r="F99" s="5"/>
      <c r="G99" s="9"/>
      <c r="H99" s="7" t="str">
        <f t="shared" si="2"/>
        <v>UNUSED</v>
      </c>
    </row>
    <row r="100" spans="1:8" ht="27.6">
      <c r="A100" s="6" t="s">
        <v>3</v>
      </c>
      <c r="B100" s="6" t="s">
        <v>120</v>
      </c>
      <c r="C100" s="6" t="s">
        <v>5</v>
      </c>
      <c r="D100" s="6" t="s">
        <v>121</v>
      </c>
      <c r="E100" s="6">
        <v>11</v>
      </c>
      <c r="F100" s="5"/>
      <c r="G100" s="9"/>
      <c r="H100" s="7" t="str">
        <f t="shared" si="2"/>
        <v>UNUSED</v>
      </c>
    </row>
    <row r="101" spans="1:8" ht="27.6">
      <c r="A101" s="6" t="s">
        <v>3</v>
      </c>
      <c r="B101" s="6" t="s">
        <v>120</v>
      </c>
      <c r="C101" s="6" t="s">
        <v>5</v>
      </c>
      <c r="D101" s="6" t="s">
        <v>121</v>
      </c>
      <c r="E101" s="6">
        <v>12</v>
      </c>
      <c r="F101" s="5"/>
      <c r="G101" s="9"/>
      <c r="H101" s="7" t="str">
        <f t="shared" si="2"/>
        <v>UNUSED</v>
      </c>
    </row>
    <row r="102" spans="1:8" ht="27.6">
      <c r="A102" s="6" t="s">
        <v>3</v>
      </c>
      <c r="B102" s="6" t="s">
        <v>126</v>
      </c>
      <c r="C102" s="6" t="s">
        <v>5</v>
      </c>
      <c r="D102" s="6" t="s">
        <v>127</v>
      </c>
      <c r="E102" s="6">
        <v>1</v>
      </c>
      <c r="F102" s="5" t="s">
        <v>180</v>
      </c>
      <c r="G102" s="9">
        <v>46243.632928240746</v>
      </c>
      <c r="H102" s="7" t="str">
        <f t="shared" ref="H102:H113" si="3">IF(AND($F102="",$G102=""),"UNUSED",IF(AND($F102&lt;&gt;"",$G102&lt;&gt;""),"PASS","PARTIAL"))</f>
        <v>PASS</v>
      </c>
    </row>
    <row r="103" spans="1:8" ht="27.6">
      <c r="A103" s="6" t="s">
        <v>3</v>
      </c>
      <c r="B103" s="6" t="s">
        <v>126</v>
      </c>
      <c r="C103" s="6" t="s">
        <v>5</v>
      </c>
      <c r="D103" s="6" t="s">
        <v>127</v>
      </c>
      <c r="E103" s="6">
        <v>2</v>
      </c>
      <c r="F103" s="5" t="s">
        <v>181</v>
      </c>
      <c r="G103" s="9">
        <v>46243.633217592593</v>
      </c>
      <c r="H103" s="7" t="str">
        <f t="shared" si="3"/>
        <v>PASS</v>
      </c>
    </row>
    <row r="104" spans="1:8" ht="27.6">
      <c r="A104" s="6" t="s">
        <v>3</v>
      </c>
      <c r="B104" s="6" t="s">
        <v>126</v>
      </c>
      <c r="C104" s="6" t="s">
        <v>5</v>
      </c>
      <c r="D104" s="6" t="s">
        <v>127</v>
      </c>
      <c r="E104" s="6">
        <v>3</v>
      </c>
      <c r="F104" s="5" t="s">
        <v>182</v>
      </c>
      <c r="G104" s="9">
        <v>46243.63349537037</v>
      </c>
      <c r="H104" s="7" t="str">
        <f t="shared" si="3"/>
        <v>PASS</v>
      </c>
    </row>
    <row r="105" spans="1:8" ht="27.6">
      <c r="A105" s="6" t="s">
        <v>3</v>
      </c>
      <c r="B105" s="6" t="s">
        <v>126</v>
      </c>
      <c r="C105" s="6" t="s">
        <v>5</v>
      </c>
      <c r="D105" s="6" t="s">
        <v>127</v>
      </c>
      <c r="E105" s="6">
        <v>4</v>
      </c>
      <c r="F105" s="5" t="s">
        <v>183</v>
      </c>
      <c r="G105" s="9">
        <v>46243.633750000001</v>
      </c>
      <c r="H105" s="7" t="str">
        <f t="shared" si="3"/>
        <v>PASS</v>
      </c>
    </row>
    <row r="106" spans="1:8" ht="27.6">
      <c r="A106" s="6" t="s">
        <v>3</v>
      </c>
      <c r="B106" s="6" t="s">
        <v>126</v>
      </c>
      <c r="C106" s="6" t="s">
        <v>5</v>
      </c>
      <c r="D106" s="6" t="s">
        <v>127</v>
      </c>
      <c r="E106" s="6">
        <v>5</v>
      </c>
      <c r="F106" s="5" t="s">
        <v>184</v>
      </c>
      <c r="G106" s="9">
        <v>46243.633946759262</v>
      </c>
      <c r="H106" s="7" t="str">
        <f t="shared" si="3"/>
        <v>PASS</v>
      </c>
    </row>
    <row r="107" spans="1:8" ht="27.6">
      <c r="A107" s="6" t="s">
        <v>3</v>
      </c>
      <c r="B107" s="6" t="s">
        <v>126</v>
      </c>
      <c r="C107" s="6" t="s">
        <v>5</v>
      </c>
      <c r="D107" s="6" t="s">
        <v>127</v>
      </c>
      <c r="E107" s="6">
        <v>6</v>
      </c>
      <c r="F107" s="5"/>
      <c r="G107" s="9"/>
      <c r="H107" s="7" t="str">
        <f t="shared" si="3"/>
        <v>UNUSED</v>
      </c>
    </row>
    <row r="108" spans="1:8" ht="27.6">
      <c r="A108" s="6" t="s">
        <v>3</v>
      </c>
      <c r="B108" s="6" t="s">
        <v>126</v>
      </c>
      <c r="C108" s="6" t="s">
        <v>5</v>
      </c>
      <c r="D108" s="6" t="s">
        <v>127</v>
      </c>
      <c r="E108" s="6">
        <v>7</v>
      </c>
      <c r="F108" s="5"/>
      <c r="G108" s="9"/>
      <c r="H108" s="7" t="str">
        <f t="shared" si="3"/>
        <v>UNUSED</v>
      </c>
    </row>
    <row r="109" spans="1:8" ht="27.6">
      <c r="A109" s="6" t="s">
        <v>3</v>
      </c>
      <c r="B109" s="6" t="s">
        <v>126</v>
      </c>
      <c r="C109" s="6" t="s">
        <v>5</v>
      </c>
      <c r="D109" s="6" t="s">
        <v>127</v>
      </c>
      <c r="E109" s="6">
        <v>8</v>
      </c>
      <c r="F109" s="5"/>
      <c r="G109" s="9"/>
      <c r="H109" s="7" t="str">
        <f t="shared" si="3"/>
        <v>UNUSED</v>
      </c>
    </row>
    <row r="110" spans="1:8" ht="27.6">
      <c r="A110" s="6" t="s">
        <v>3</v>
      </c>
      <c r="B110" s="6" t="s">
        <v>126</v>
      </c>
      <c r="C110" s="6" t="s">
        <v>5</v>
      </c>
      <c r="D110" s="6" t="s">
        <v>127</v>
      </c>
      <c r="E110" s="6">
        <v>9</v>
      </c>
      <c r="F110" s="5"/>
      <c r="G110" s="9"/>
      <c r="H110" s="7" t="str">
        <f t="shared" si="3"/>
        <v>UNUSED</v>
      </c>
    </row>
    <row r="111" spans="1:8" ht="27.6">
      <c r="A111" s="6" t="s">
        <v>3</v>
      </c>
      <c r="B111" s="6" t="s">
        <v>126</v>
      </c>
      <c r="C111" s="6" t="s">
        <v>5</v>
      </c>
      <c r="D111" s="6" t="s">
        <v>127</v>
      </c>
      <c r="E111" s="6">
        <v>10</v>
      </c>
      <c r="F111" s="5"/>
      <c r="G111" s="9"/>
      <c r="H111" s="7" t="str">
        <f t="shared" si="3"/>
        <v>UNUSED</v>
      </c>
    </row>
    <row r="112" spans="1:8" ht="27.6">
      <c r="A112" s="6" t="s">
        <v>3</v>
      </c>
      <c r="B112" s="6" t="s">
        <v>126</v>
      </c>
      <c r="C112" s="6" t="s">
        <v>5</v>
      </c>
      <c r="D112" s="6" t="s">
        <v>127</v>
      </c>
      <c r="E112" s="6">
        <v>11</v>
      </c>
      <c r="F112" s="5"/>
      <c r="G112" s="9"/>
      <c r="H112" s="7" t="str">
        <f t="shared" si="3"/>
        <v>UNUSED</v>
      </c>
    </row>
    <row r="113" spans="1:8" ht="27.6">
      <c r="A113" s="6" t="s">
        <v>3</v>
      </c>
      <c r="B113" s="6" t="s">
        <v>126</v>
      </c>
      <c r="C113" s="6" t="s">
        <v>5</v>
      </c>
      <c r="D113" s="6" t="s">
        <v>127</v>
      </c>
      <c r="E113" s="6">
        <v>12</v>
      </c>
      <c r="F113" s="5"/>
      <c r="G113" s="9"/>
      <c r="H113" s="7" t="str">
        <f t="shared" si="3"/>
        <v>UNUSED</v>
      </c>
    </row>
  </sheetData>
  <mergeCells count="2">
    <mergeCell ref="A1:H2"/>
    <mergeCell ref="A3:H3"/>
  </mergeCells>
  <phoneticPr fontId="7" type="noConversion"/>
  <conditionalFormatting sqref="H6:H113">
    <cfRule type="containsText" dxfId="8" priority="1" operator="containsText" text="PASS"/>
    <cfRule type="containsText" dxfId="7" priority="2" operator="containsText" text="INCOMPLETE"/>
    <cfRule type="containsText" dxfId="6" priority="3" operator="containsText" text="PARTIAL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showGridLines="0" workbookViewId="0"/>
  </sheetViews>
  <sheetFormatPr defaultRowHeight="13.8"/>
  <cols>
    <col min="1" max="1" width="16" customWidth="1"/>
    <col min="2" max="2" width="14" customWidth="1"/>
    <col min="3" max="3" width="34" customWidth="1"/>
    <col min="4" max="4" width="20" customWidth="1"/>
    <col min="5" max="5" width="12" customWidth="1"/>
    <col min="6" max="6" width="34" customWidth="1"/>
  </cols>
  <sheetData>
    <row r="1" spans="1:6" ht="31.95" customHeight="1">
      <c r="A1" s="10" t="s">
        <v>185</v>
      </c>
      <c r="B1" s="10" t="s">
        <v>185</v>
      </c>
      <c r="C1" s="10" t="s">
        <v>185</v>
      </c>
      <c r="D1" s="10" t="s">
        <v>185</v>
      </c>
      <c r="E1" s="10" t="s">
        <v>185</v>
      </c>
      <c r="F1" s="10" t="s">
        <v>185</v>
      </c>
    </row>
    <row r="2" spans="1:6">
      <c r="A2" s="1" t="s">
        <v>186</v>
      </c>
      <c r="B2" s="1" t="s">
        <v>187</v>
      </c>
      <c r="C2" s="1" t="s">
        <v>188</v>
      </c>
      <c r="D2" s="1" t="s">
        <v>189</v>
      </c>
      <c r="E2" s="1" t="s">
        <v>190</v>
      </c>
      <c r="F2" s="1" t="s">
        <v>191</v>
      </c>
    </row>
    <row r="3" spans="1:6">
      <c r="A3" s="4" t="s">
        <v>192</v>
      </c>
      <c r="B3" s="4" t="s">
        <v>44</v>
      </c>
      <c r="C3" s="4" t="s">
        <v>45</v>
      </c>
      <c r="D3" s="4" t="s">
        <v>193</v>
      </c>
      <c r="E3" s="4">
        <v>6</v>
      </c>
      <c r="F3" s="4" t="s">
        <v>194</v>
      </c>
    </row>
    <row r="4" spans="1:6">
      <c r="A4" s="4" t="s">
        <v>195</v>
      </c>
      <c r="B4" s="4" t="s">
        <v>51</v>
      </c>
      <c r="C4" s="4" t="s">
        <v>52</v>
      </c>
      <c r="D4" s="4" t="s">
        <v>193</v>
      </c>
      <c r="E4" s="4">
        <v>7</v>
      </c>
      <c r="F4" s="4" t="s">
        <v>194</v>
      </c>
    </row>
    <row r="5" spans="1:6">
      <c r="A5" s="4" t="s">
        <v>196</v>
      </c>
      <c r="B5" s="4" t="s">
        <v>56</v>
      </c>
      <c r="C5" s="4" t="s">
        <v>52</v>
      </c>
      <c r="D5" s="4" t="s">
        <v>193</v>
      </c>
      <c r="E5" s="4">
        <v>8</v>
      </c>
      <c r="F5" s="4" t="s">
        <v>194</v>
      </c>
    </row>
    <row r="6" spans="1:6">
      <c r="A6" s="4" t="s">
        <v>197</v>
      </c>
      <c r="B6" s="4" t="s">
        <v>61</v>
      </c>
      <c r="C6" s="4" t="s">
        <v>45</v>
      </c>
      <c r="D6" s="4" t="s">
        <v>193</v>
      </c>
      <c r="E6" s="4">
        <v>9</v>
      </c>
      <c r="F6" s="4" t="s">
        <v>194</v>
      </c>
    </row>
    <row r="7" spans="1:6">
      <c r="A7" s="4" t="s">
        <v>198</v>
      </c>
      <c r="B7" s="4" t="s">
        <v>66</v>
      </c>
      <c r="C7" s="4" t="s">
        <v>45</v>
      </c>
      <c r="D7" s="4" t="s">
        <v>193</v>
      </c>
      <c r="E7" s="4">
        <v>10</v>
      </c>
      <c r="F7" s="4" t="s">
        <v>194</v>
      </c>
    </row>
    <row r="8" spans="1:6">
      <c r="A8" s="4" t="s">
        <v>199</v>
      </c>
      <c r="B8" s="4" t="s">
        <v>69</v>
      </c>
      <c r="C8" s="4" t="s">
        <v>45</v>
      </c>
      <c r="D8" s="4" t="s">
        <v>193</v>
      </c>
      <c r="E8" s="4">
        <v>11</v>
      </c>
      <c r="F8" s="4" t="s">
        <v>194</v>
      </c>
    </row>
    <row r="9" spans="1:6">
      <c r="A9" s="4" t="s">
        <v>200</v>
      </c>
      <c r="B9" s="4" t="s">
        <v>72</v>
      </c>
      <c r="C9" s="4" t="s">
        <v>52</v>
      </c>
      <c r="D9" s="4" t="s">
        <v>193</v>
      </c>
      <c r="E9" s="4">
        <v>12</v>
      </c>
      <c r="F9" s="4" t="s">
        <v>194</v>
      </c>
    </row>
    <row r="10" spans="1:6">
      <c r="A10" s="4" t="s">
        <v>201</v>
      </c>
      <c r="B10" s="4" t="s">
        <v>75</v>
      </c>
      <c r="C10" s="4" t="s">
        <v>52</v>
      </c>
      <c r="D10" s="4" t="s">
        <v>193</v>
      </c>
      <c r="E10" s="4">
        <v>13</v>
      </c>
      <c r="F10" s="4" t="s">
        <v>194</v>
      </c>
    </row>
    <row r="11" spans="1:6">
      <c r="A11" s="4" t="s">
        <v>202</v>
      </c>
      <c r="B11" s="4" t="s">
        <v>78</v>
      </c>
      <c r="C11" s="4" t="s">
        <v>45</v>
      </c>
      <c r="D11" s="4" t="s">
        <v>193</v>
      </c>
      <c r="E11" s="4">
        <v>14</v>
      </c>
      <c r="F11" s="4" t="s">
        <v>194</v>
      </c>
    </row>
    <row r="12" spans="1:6">
      <c r="A12" s="4" t="s">
        <v>203</v>
      </c>
      <c r="B12" s="4" t="s">
        <v>82</v>
      </c>
      <c r="C12" s="4" t="s">
        <v>45</v>
      </c>
      <c r="D12" s="4" t="s">
        <v>193</v>
      </c>
      <c r="E12" s="4">
        <v>15</v>
      </c>
      <c r="F12" s="4" t="s">
        <v>194</v>
      </c>
    </row>
    <row r="14" spans="1:6">
      <c r="A14" s="22" t="s">
        <v>204</v>
      </c>
      <c r="B14" s="22" t="s">
        <v>204</v>
      </c>
      <c r="C14" s="22" t="s">
        <v>204</v>
      </c>
      <c r="D14" s="22" t="s">
        <v>204</v>
      </c>
      <c r="E14" s="22" t="s">
        <v>204</v>
      </c>
      <c r="F14" s="22" t="s">
        <v>204</v>
      </c>
    </row>
    <row r="15" spans="1:6">
      <c r="A15" s="1" t="s">
        <v>186</v>
      </c>
      <c r="B15" s="1" t="s">
        <v>187</v>
      </c>
      <c r="C15" s="1" t="s">
        <v>205</v>
      </c>
      <c r="D15" s="1" t="s">
        <v>189</v>
      </c>
      <c r="E15" s="1" t="s">
        <v>190</v>
      </c>
      <c r="F15" s="1" t="s">
        <v>191</v>
      </c>
    </row>
    <row r="16" spans="1:6">
      <c r="A16" s="4" t="s">
        <v>206</v>
      </c>
      <c r="B16" s="4" t="s">
        <v>93</v>
      </c>
      <c r="C16" s="4" t="s">
        <v>207</v>
      </c>
      <c r="D16" s="4" t="s">
        <v>208</v>
      </c>
      <c r="E16" s="4">
        <v>6</v>
      </c>
      <c r="F16" s="4" t="s">
        <v>209</v>
      </c>
    </row>
    <row r="17" spans="1:6">
      <c r="A17" s="4" t="s">
        <v>210</v>
      </c>
      <c r="B17" s="4" t="s">
        <v>99</v>
      </c>
      <c r="C17" s="4" t="s">
        <v>207</v>
      </c>
      <c r="D17" s="4" t="s">
        <v>208</v>
      </c>
      <c r="E17" s="4">
        <v>7</v>
      </c>
      <c r="F17" s="4" t="s">
        <v>209</v>
      </c>
    </row>
    <row r="18" spans="1:6">
      <c r="A18" s="4" t="s">
        <v>211</v>
      </c>
      <c r="B18" s="4" t="s">
        <v>103</v>
      </c>
      <c r="C18" s="4" t="s">
        <v>207</v>
      </c>
      <c r="D18" s="4" t="s">
        <v>208</v>
      </c>
      <c r="E18" s="4">
        <v>8</v>
      </c>
      <c r="F18" s="4" t="s">
        <v>209</v>
      </c>
    </row>
    <row r="19" spans="1:6">
      <c r="A19" s="4" t="s">
        <v>212</v>
      </c>
      <c r="B19" s="4" t="s">
        <v>107</v>
      </c>
      <c r="C19" s="4" t="s">
        <v>207</v>
      </c>
      <c r="D19" s="4" t="s">
        <v>208</v>
      </c>
      <c r="E19" s="4">
        <v>9</v>
      </c>
      <c r="F19" s="4" t="s">
        <v>209</v>
      </c>
    </row>
    <row r="20" spans="1:6">
      <c r="A20" s="4" t="s">
        <v>213</v>
      </c>
      <c r="B20" s="4" t="s">
        <v>110</v>
      </c>
      <c r="C20" s="4" t="s">
        <v>207</v>
      </c>
      <c r="D20" s="4" t="s">
        <v>208</v>
      </c>
      <c r="E20" s="4">
        <v>10</v>
      </c>
      <c r="F20" s="4" t="s">
        <v>209</v>
      </c>
    </row>
    <row r="21" spans="1:6">
      <c r="A21" s="4" t="s">
        <v>214</v>
      </c>
      <c r="B21" s="4" t="s">
        <v>113</v>
      </c>
      <c r="C21" s="4" t="s">
        <v>207</v>
      </c>
      <c r="D21" s="4" t="s">
        <v>208</v>
      </c>
      <c r="E21" s="4">
        <v>11</v>
      </c>
      <c r="F21" s="4" t="s">
        <v>209</v>
      </c>
    </row>
    <row r="22" spans="1:6">
      <c r="A22" s="4" t="s">
        <v>215</v>
      </c>
      <c r="B22" s="4" t="s">
        <v>116</v>
      </c>
      <c r="C22" s="4" t="s">
        <v>207</v>
      </c>
      <c r="D22" s="4" t="s">
        <v>208</v>
      </c>
      <c r="E22" s="4">
        <v>12</v>
      </c>
      <c r="F22" s="4" t="s">
        <v>209</v>
      </c>
    </row>
    <row r="23" spans="1:6">
      <c r="A23" s="4" t="s">
        <v>216</v>
      </c>
      <c r="B23" s="4" t="s">
        <v>120</v>
      </c>
      <c r="C23" s="4" t="s">
        <v>207</v>
      </c>
      <c r="D23" s="4" t="s">
        <v>208</v>
      </c>
      <c r="E23" s="4">
        <v>13</v>
      </c>
      <c r="F23" s="4" t="s">
        <v>209</v>
      </c>
    </row>
    <row r="24" spans="1:6">
      <c r="A24" s="4" t="s">
        <v>217</v>
      </c>
      <c r="B24" s="4" t="s">
        <v>126</v>
      </c>
      <c r="C24" s="4" t="s">
        <v>207</v>
      </c>
      <c r="D24" s="4" t="s">
        <v>208</v>
      </c>
      <c r="E24" s="4">
        <v>14</v>
      </c>
      <c r="F24" s="4" t="s">
        <v>209</v>
      </c>
    </row>
    <row r="27" spans="1:6">
      <c r="A27" s="23" t="s">
        <v>218</v>
      </c>
      <c r="B27" s="24" t="s">
        <v>218</v>
      </c>
      <c r="C27" s="24" t="s">
        <v>218</v>
      </c>
      <c r="D27" s="24" t="s">
        <v>218</v>
      </c>
      <c r="E27" s="24" t="s">
        <v>218</v>
      </c>
      <c r="F27" s="25" t="s">
        <v>218</v>
      </c>
    </row>
    <row r="28" spans="1:6">
      <c r="A28" s="26" t="s">
        <v>218</v>
      </c>
      <c r="B28" s="27" t="s">
        <v>218</v>
      </c>
      <c r="C28" s="27" t="s">
        <v>218</v>
      </c>
      <c r="D28" s="27" t="s">
        <v>218</v>
      </c>
      <c r="E28" s="27" t="s">
        <v>218</v>
      </c>
      <c r="F28" s="28" t="s">
        <v>218</v>
      </c>
    </row>
    <row r="29" spans="1:6">
      <c r="A29" s="26" t="s">
        <v>218</v>
      </c>
      <c r="B29" s="27" t="s">
        <v>218</v>
      </c>
      <c r="C29" s="27" t="s">
        <v>218</v>
      </c>
      <c r="D29" s="27" t="s">
        <v>218</v>
      </c>
      <c r="E29" s="27" t="s">
        <v>218</v>
      </c>
      <c r="F29" s="28" t="s">
        <v>218</v>
      </c>
    </row>
    <row r="30" spans="1:6">
      <c r="A30" s="29" t="s">
        <v>218</v>
      </c>
      <c r="B30" s="30" t="s">
        <v>218</v>
      </c>
      <c r="C30" s="30" t="s">
        <v>218</v>
      </c>
      <c r="D30" s="30" t="s">
        <v>218</v>
      </c>
      <c r="E30" s="30" t="s">
        <v>218</v>
      </c>
      <c r="F30" s="31" t="s">
        <v>218</v>
      </c>
    </row>
  </sheetData>
  <mergeCells count="3">
    <mergeCell ref="A1:F1"/>
    <mergeCell ref="A14:F14"/>
    <mergeCell ref="A27:F30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showGridLines="0" workbookViewId="0"/>
  </sheetViews>
  <sheetFormatPr defaultRowHeight="13.8"/>
  <cols>
    <col min="1" max="1" width="18" customWidth="1"/>
    <col min="2" max="2" width="34" customWidth="1"/>
    <col min="3" max="3" width="68" customWidth="1"/>
    <col min="4" max="4" width="54" customWidth="1"/>
  </cols>
  <sheetData>
    <row r="1" spans="1:4" ht="31.95" customHeight="1">
      <c r="A1" s="10" t="s">
        <v>219</v>
      </c>
      <c r="B1" s="10" t="s">
        <v>219</v>
      </c>
      <c r="C1" s="10" t="s">
        <v>219</v>
      </c>
      <c r="D1" s="10" t="s">
        <v>219</v>
      </c>
    </row>
    <row r="2" spans="1:4" ht="31.95" customHeight="1">
      <c r="A2" s="10" t="s">
        <v>219</v>
      </c>
      <c r="B2" s="10" t="s">
        <v>219</v>
      </c>
      <c r="C2" s="10" t="s">
        <v>219</v>
      </c>
      <c r="D2" s="10" t="s">
        <v>219</v>
      </c>
    </row>
    <row r="4" spans="1:4">
      <c r="A4" s="1" t="s">
        <v>220</v>
      </c>
      <c r="B4" s="1" t="s">
        <v>221</v>
      </c>
      <c r="C4" s="1" t="s">
        <v>222</v>
      </c>
      <c r="D4" s="1" t="s">
        <v>223</v>
      </c>
    </row>
    <row r="5" spans="1:4" ht="27.6">
      <c r="A5" s="4" t="s">
        <v>224</v>
      </c>
      <c r="B5" s="4" t="s">
        <v>225</v>
      </c>
      <c r="C5" s="4" t="s">
        <v>226</v>
      </c>
      <c r="D5" s="4" t="s">
        <v>227</v>
      </c>
    </row>
    <row r="6" spans="1:4" ht="41.4">
      <c r="A6" s="4" t="s">
        <v>224</v>
      </c>
      <c r="B6" s="4" t="s">
        <v>228</v>
      </c>
      <c r="C6" s="4" t="s">
        <v>229</v>
      </c>
      <c r="D6" s="4" t="s">
        <v>230</v>
      </c>
    </row>
    <row r="7" spans="1:4" ht="27.6">
      <c r="A7" s="4" t="s">
        <v>224</v>
      </c>
      <c r="B7" s="4" t="s">
        <v>231</v>
      </c>
      <c r="C7" s="4" t="s">
        <v>232</v>
      </c>
      <c r="D7" s="4" t="s">
        <v>233</v>
      </c>
    </row>
    <row r="8" spans="1:4">
      <c r="A8" s="4" t="s">
        <v>224</v>
      </c>
      <c r="B8" s="4" t="s">
        <v>234</v>
      </c>
      <c r="C8" s="4" t="s">
        <v>235</v>
      </c>
      <c r="D8" s="4" t="s">
        <v>236</v>
      </c>
    </row>
    <row r="9" spans="1:4" ht="27.6">
      <c r="A9" s="4" t="s">
        <v>224</v>
      </c>
      <c r="B9" s="4" t="s">
        <v>237</v>
      </c>
      <c r="C9" s="4" t="s">
        <v>238</v>
      </c>
      <c r="D9" s="4" t="s">
        <v>239</v>
      </c>
    </row>
    <row r="10" spans="1:4" ht="27.6">
      <c r="A10" s="4" t="s">
        <v>224</v>
      </c>
      <c r="B10" s="4" t="s">
        <v>37</v>
      </c>
      <c r="C10" s="4" t="s">
        <v>240</v>
      </c>
      <c r="D10" s="4" t="s">
        <v>241</v>
      </c>
    </row>
    <row r="11" spans="1:4" ht="27.6">
      <c r="A11" s="4" t="s">
        <v>242</v>
      </c>
      <c r="B11" s="4" t="s">
        <v>96</v>
      </c>
      <c r="C11" s="4" t="s">
        <v>243</v>
      </c>
      <c r="D11" s="4" t="s">
        <v>244</v>
      </c>
    </row>
    <row r="12" spans="1:4" ht="27.6">
      <c r="A12" s="4" t="s">
        <v>242</v>
      </c>
      <c r="B12" s="4" t="s">
        <v>123</v>
      </c>
      <c r="C12" s="4" t="s">
        <v>245</v>
      </c>
      <c r="D12" s="4" t="s">
        <v>246</v>
      </c>
    </row>
    <row r="13" spans="1:4">
      <c r="A13" s="4" t="s">
        <v>242</v>
      </c>
      <c r="B13" s="4" t="s">
        <v>247</v>
      </c>
      <c r="C13" s="4" t="s">
        <v>248</v>
      </c>
      <c r="D13" s="4" t="s">
        <v>249</v>
      </c>
    </row>
    <row r="14" spans="1:4" ht="27.6">
      <c r="A14" s="4" t="s">
        <v>250</v>
      </c>
      <c r="B14" s="4" t="s">
        <v>251</v>
      </c>
      <c r="C14" s="4" t="s">
        <v>252</v>
      </c>
      <c r="D14" s="4" t="s">
        <v>253</v>
      </c>
    </row>
    <row r="15" spans="1:4" ht="27.6">
      <c r="A15" s="4" t="s">
        <v>254</v>
      </c>
      <c r="B15" s="4" t="s">
        <v>255</v>
      </c>
      <c r="C15" s="4" t="s">
        <v>256</v>
      </c>
      <c r="D15" s="4" t="s">
        <v>257</v>
      </c>
    </row>
    <row r="16" spans="1:4" ht="27.6">
      <c r="A16" s="4" t="s">
        <v>254</v>
      </c>
      <c r="B16" s="4" t="s">
        <v>258</v>
      </c>
      <c r="C16" s="4" t="s">
        <v>259</v>
      </c>
      <c r="D16" s="4" t="s">
        <v>260</v>
      </c>
    </row>
  </sheetData>
  <mergeCells count="1">
    <mergeCell ref="A1:D2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workbookViewId="0"/>
  </sheetViews>
  <sheetFormatPr defaultRowHeight="13.8"/>
  <cols>
    <col min="1" max="1" width="30" customWidth="1"/>
    <col min="2" max="2" width="18" customWidth="1"/>
    <col min="3" max="4" width="16" customWidth="1"/>
    <col min="5" max="5" width="70" customWidth="1"/>
  </cols>
  <sheetData>
    <row r="1" spans="1:5" ht="31.95" customHeight="1">
      <c r="A1" s="10" t="s">
        <v>261</v>
      </c>
      <c r="B1" s="10" t="s">
        <v>261</v>
      </c>
      <c r="C1" s="10" t="s">
        <v>261</v>
      </c>
      <c r="D1" s="10" t="s">
        <v>261</v>
      </c>
      <c r="E1" s="10" t="s">
        <v>261</v>
      </c>
    </row>
    <row r="2" spans="1:5" ht="31.95" customHeight="1">
      <c r="A2" s="10" t="s">
        <v>261</v>
      </c>
      <c r="B2" s="10" t="s">
        <v>261</v>
      </c>
      <c r="C2" s="10" t="s">
        <v>261</v>
      </c>
      <c r="D2" s="10" t="s">
        <v>261</v>
      </c>
      <c r="E2" s="10" t="s">
        <v>261</v>
      </c>
    </row>
    <row r="3" spans="1:5">
      <c r="A3" s="1" t="s">
        <v>262</v>
      </c>
      <c r="B3" s="1" t="s">
        <v>263</v>
      </c>
      <c r="C3" s="1" t="s">
        <v>264</v>
      </c>
      <c r="D3" s="1" t="s">
        <v>265</v>
      </c>
      <c r="E3" s="1" t="s">
        <v>266</v>
      </c>
    </row>
    <row r="4" spans="1:5" ht="27.6">
      <c r="A4" s="4" t="s">
        <v>267</v>
      </c>
      <c r="B4" s="4">
        <v>10</v>
      </c>
      <c r="C4" s="4">
        <f>COUNTIF('A-B Coding'!$U$6:$U$15,"PASS")</f>
        <v>10</v>
      </c>
      <c r="D4" s="4" t="str">
        <f t="shared" ref="D4:D9" si="0">IF($B4=$C4,"PASS","INCOMPLETE")</f>
        <v>PASS</v>
      </c>
      <c r="E4" s="4" t="s">
        <v>268</v>
      </c>
    </row>
    <row r="5" spans="1:5">
      <c r="A5" s="4" t="s">
        <v>269</v>
      </c>
      <c r="B5" s="4">
        <v>10</v>
      </c>
      <c r="C5" s="4">
        <f>COUNTIF('A-B Coding'!$V$6:$V$15,"PASS")</f>
        <v>10</v>
      </c>
      <c r="D5" s="4" t="str">
        <f t="shared" si="0"/>
        <v>PASS</v>
      </c>
      <c r="E5" s="4" t="s">
        <v>270</v>
      </c>
    </row>
    <row r="6" spans="1:5" ht="27.6">
      <c r="A6" s="4" t="s">
        <v>271</v>
      </c>
      <c r="B6" s="4">
        <v>9</v>
      </c>
      <c r="C6" s="4">
        <f>COUNTIF('MP Coding'!$K$6:$K$14,"PASS")</f>
        <v>9</v>
      </c>
      <c r="D6" s="4" t="str">
        <f t="shared" si="0"/>
        <v>PASS</v>
      </c>
      <c r="E6" s="4" t="s">
        <v>272</v>
      </c>
    </row>
    <row r="7" spans="1:5">
      <c r="A7" s="4" t="s">
        <v>273</v>
      </c>
      <c r="B7" s="4">
        <v>9</v>
      </c>
      <c r="C7" s="4">
        <f>COUNTIF('MP Coding'!$L$6:$L$14,"PASS")</f>
        <v>9</v>
      </c>
      <c r="D7" s="4" t="str">
        <f t="shared" si="0"/>
        <v>PASS</v>
      </c>
      <c r="E7" s="4" t="s">
        <v>274</v>
      </c>
    </row>
    <row r="8" spans="1:5">
      <c r="A8" s="4" t="s">
        <v>275</v>
      </c>
      <c r="B8" s="4">
        <v>9</v>
      </c>
      <c r="C8" s="4">
        <f>COUNTIF($D$16:$D$24,"PASS")</f>
        <v>9</v>
      </c>
      <c r="D8" s="4" t="str">
        <f t="shared" si="0"/>
        <v>PASS</v>
      </c>
      <c r="E8" s="4" t="s">
        <v>276</v>
      </c>
    </row>
    <row r="9" spans="1:5">
      <c r="A9" s="4" t="s">
        <v>277</v>
      </c>
      <c r="B9" s="4">
        <v>0</v>
      </c>
      <c r="C9" s="4">
        <f>COUNTIF('UCR Segmentation'!$H$6:$H$113,"PARTIAL")</f>
        <v>0</v>
      </c>
      <c r="D9" s="4" t="str">
        <f t="shared" si="0"/>
        <v>PASS</v>
      </c>
      <c r="E9" s="4" t="s">
        <v>278</v>
      </c>
    </row>
    <row r="10" spans="1:5">
      <c r="A10" s="4" t="s">
        <v>279</v>
      </c>
      <c r="B10" s="4" t="s">
        <v>280</v>
      </c>
      <c r="C10" s="4" t="str">
        <f>IF(AND('Start Here'!$B$8="Yes",LEN(TRIM('Start Here'!$B$9))&gt;=10,'Start Here'!$B$10="Yes",'Start Here'!$B$11="Yes",'Start Here'!$B$12="Yes",'Start Here'!$B$13&lt;&gt;"",'Start Here'!$B$14&lt;&gt;"",'Start Here'!$B$15&lt;&gt;"",'Start Here'!$B$16&lt;&gt;""),"PASS","INCOMPLETE")</f>
        <v>PASS</v>
      </c>
      <c r="D10" s="4" t="str">
        <f>C10</f>
        <v>PASS</v>
      </c>
      <c r="E10" s="4" t="s">
        <v>281</v>
      </c>
    </row>
    <row r="11" spans="1:5" ht="27.6">
      <c r="A11" s="4" t="s">
        <v>282</v>
      </c>
      <c r="B11" s="4">
        <v>6</v>
      </c>
      <c r="C11" s="4">
        <f>COUNTIF('A-B Coding'!$D$6:$D$15,"BOTH_NA_REQUIRED")</f>
        <v>6</v>
      </c>
      <c r="D11" s="4" t="str">
        <f>IF($B11=$C11,"PASS","INCOMPLETE")</f>
        <v>PASS</v>
      </c>
      <c r="E11" s="4" t="s">
        <v>283</v>
      </c>
    </row>
    <row r="12" spans="1:5">
      <c r="A12" s="22" t="s">
        <v>284</v>
      </c>
      <c r="B12" s="22" t="s">
        <v>284</v>
      </c>
      <c r="C12" s="22" t="s">
        <v>284</v>
      </c>
      <c r="D12" s="32" t="str">
        <f>IF(COUNTIF($D$4:$D$11,"PASS")=8,"PASS","INCOMPLETE")</f>
        <v>PASS</v>
      </c>
      <c r="E12" s="32"/>
    </row>
    <row r="15" spans="1:5">
      <c r="A15" s="1" t="s">
        <v>285</v>
      </c>
      <c r="B15" s="1" t="s">
        <v>286</v>
      </c>
      <c r="C15" s="1" t="s">
        <v>287</v>
      </c>
      <c r="D15" s="1" t="s">
        <v>288</v>
      </c>
      <c r="E15" s="1" t="s">
        <v>289</v>
      </c>
    </row>
    <row r="16" spans="1:5">
      <c r="A16" s="4" t="s">
        <v>93</v>
      </c>
      <c r="B16" s="4">
        <f>COUNTIFS('UCR Segmentation'!$B$6:$B$113,$A16,'UCR Segmentation'!$F$6:$F$113,"&lt;&gt;")</f>
        <v>6</v>
      </c>
      <c r="C16" s="4">
        <f>COUNTIFS('UCR Segmentation'!$B$6:$B$113,$A16,'UCR Segmentation'!$H$6:$H$113,"PARTIAL")</f>
        <v>0</v>
      </c>
      <c r="D16" s="4" t="str">
        <f t="shared" ref="D16:D24" si="1">IF(AND($B16&gt;=1,$C16=0),"PASS","INCOMPLETE")</f>
        <v>PASS</v>
      </c>
      <c r="E16" s="4" t="s">
        <v>290</v>
      </c>
    </row>
    <row r="17" spans="1:5">
      <c r="A17" s="4" t="s">
        <v>99</v>
      </c>
      <c r="B17" s="4">
        <f>COUNTIFS('UCR Segmentation'!$B$6:$B$113,$A17,'UCR Segmentation'!$F$6:$F$113,"&lt;&gt;")</f>
        <v>7</v>
      </c>
      <c r="C17" s="4">
        <f>COUNTIFS('UCR Segmentation'!$B$6:$B$113,$A17,'UCR Segmentation'!$H$6:$H$113,"PARTIAL")</f>
        <v>0</v>
      </c>
      <c r="D17" s="4" t="str">
        <f t="shared" si="1"/>
        <v>PASS</v>
      </c>
      <c r="E17" s="4" t="s">
        <v>290</v>
      </c>
    </row>
    <row r="18" spans="1:5">
      <c r="A18" s="4" t="s">
        <v>103</v>
      </c>
      <c r="B18" s="4">
        <f>COUNTIFS('UCR Segmentation'!$B$6:$B$113,$A18,'UCR Segmentation'!$F$6:$F$113,"&lt;&gt;")</f>
        <v>6</v>
      </c>
      <c r="C18" s="4">
        <f>COUNTIFS('UCR Segmentation'!$B$6:$B$113,$A18,'UCR Segmentation'!$H$6:$H$113,"PARTIAL")</f>
        <v>0</v>
      </c>
      <c r="D18" s="4" t="str">
        <f t="shared" si="1"/>
        <v>PASS</v>
      </c>
      <c r="E18" s="4" t="s">
        <v>290</v>
      </c>
    </row>
    <row r="19" spans="1:5">
      <c r="A19" s="4" t="s">
        <v>107</v>
      </c>
      <c r="B19" s="4">
        <f>COUNTIFS('UCR Segmentation'!$B$6:$B$113,$A19,'UCR Segmentation'!$F$6:$F$113,"&lt;&gt;")</f>
        <v>7</v>
      </c>
      <c r="C19" s="4">
        <f>COUNTIFS('UCR Segmentation'!$B$6:$B$113,$A19,'UCR Segmentation'!$H$6:$H$113,"PARTIAL")</f>
        <v>0</v>
      </c>
      <c r="D19" s="4" t="str">
        <f t="shared" si="1"/>
        <v>PASS</v>
      </c>
      <c r="E19" s="4" t="s">
        <v>290</v>
      </c>
    </row>
    <row r="20" spans="1:5">
      <c r="A20" s="4" t="s">
        <v>110</v>
      </c>
      <c r="B20" s="4">
        <f>COUNTIFS('UCR Segmentation'!$B$6:$B$113,$A20,'UCR Segmentation'!$F$6:$F$113,"&lt;&gt;")</f>
        <v>6</v>
      </c>
      <c r="C20" s="4">
        <f>COUNTIFS('UCR Segmentation'!$B$6:$B$113,$A20,'UCR Segmentation'!$H$6:$H$113,"PARTIAL")</f>
        <v>0</v>
      </c>
      <c r="D20" s="4" t="str">
        <f t="shared" si="1"/>
        <v>PASS</v>
      </c>
      <c r="E20" s="4" t="s">
        <v>290</v>
      </c>
    </row>
    <row r="21" spans="1:5">
      <c r="A21" s="4" t="s">
        <v>113</v>
      </c>
      <c r="B21" s="4">
        <f>COUNTIFS('UCR Segmentation'!$B$6:$B$113,$A21,'UCR Segmentation'!$F$6:$F$113,"&lt;&gt;")</f>
        <v>6</v>
      </c>
      <c r="C21" s="4">
        <f>COUNTIFS('UCR Segmentation'!$B$6:$B$113,$A21,'UCR Segmentation'!$H$6:$H$113,"PARTIAL")</f>
        <v>0</v>
      </c>
      <c r="D21" s="4" t="str">
        <f t="shared" si="1"/>
        <v>PASS</v>
      </c>
      <c r="E21" s="4" t="s">
        <v>290</v>
      </c>
    </row>
    <row r="22" spans="1:5">
      <c r="A22" s="4" t="s">
        <v>116</v>
      </c>
      <c r="B22" s="4">
        <f>COUNTIFS('UCR Segmentation'!$B$6:$B$113,$A22,'UCR Segmentation'!$F$6:$F$113,"&lt;&gt;")</f>
        <v>5</v>
      </c>
      <c r="C22" s="4">
        <f>COUNTIFS('UCR Segmentation'!$B$6:$B$113,$A22,'UCR Segmentation'!$H$6:$H$113,"PARTIAL")</f>
        <v>0</v>
      </c>
      <c r="D22" s="4" t="str">
        <f t="shared" si="1"/>
        <v>PASS</v>
      </c>
      <c r="E22" s="4" t="s">
        <v>290</v>
      </c>
    </row>
    <row r="23" spans="1:5">
      <c r="A23" s="4" t="s">
        <v>120</v>
      </c>
      <c r="B23" s="4">
        <f>COUNTIFS('UCR Segmentation'!$B$6:$B$113,$A23,'UCR Segmentation'!$F$6:$F$113,"&lt;&gt;")</f>
        <v>4</v>
      </c>
      <c r="C23" s="4">
        <f>COUNTIFS('UCR Segmentation'!$B$6:$B$113,$A23,'UCR Segmentation'!$H$6:$H$113,"PARTIAL")</f>
        <v>0</v>
      </c>
      <c r="D23" s="4" t="str">
        <f t="shared" si="1"/>
        <v>PASS</v>
      </c>
      <c r="E23" s="4" t="s">
        <v>290</v>
      </c>
    </row>
    <row r="24" spans="1:5">
      <c r="A24" s="4" t="s">
        <v>126</v>
      </c>
      <c r="B24" s="4">
        <f>COUNTIFS('UCR Segmentation'!$B$6:$B$113,$A24,'UCR Segmentation'!$F$6:$F$113,"&lt;&gt;")</f>
        <v>5</v>
      </c>
      <c r="C24" s="4">
        <f>COUNTIFS('UCR Segmentation'!$B$6:$B$113,$A24,'UCR Segmentation'!$H$6:$H$113,"PARTIAL")</f>
        <v>0</v>
      </c>
      <c r="D24" s="4" t="str">
        <f t="shared" si="1"/>
        <v>PASS</v>
      </c>
      <c r="E24" s="4" t="s">
        <v>290</v>
      </c>
    </row>
  </sheetData>
  <mergeCells count="3">
    <mergeCell ref="A1:E2"/>
    <mergeCell ref="A12:C12"/>
    <mergeCell ref="D12:E12"/>
  </mergeCells>
  <phoneticPr fontId="7" type="noConversion"/>
  <conditionalFormatting sqref="D4:D12">
    <cfRule type="containsText" dxfId="5" priority="1" operator="containsText" text="PASS"/>
    <cfRule type="containsText" dxfId="4" priority="2" operator="containsText" text="INCOMPLETE"/>
    <cfRule type="containsText" dxfId="3" priority="3" operator="containsText" text="PARTIAL"/>
  </conditionalFormatting>
  <conditionalFormatting sqref="D16:D24">
    <cfRule type="containsText" dxfId="2" priority="5" operator="containsText" text="PASS"/>
    <cfRule type="containsText" dxfId="1" priority="6" operator="containsText" text="INCOMPLETE"/>
    <cfRule type="containsText" dxfId="0" priority="7" operator="containsText" text="PARTIA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Start Here</vt:lpstr>
      <vt:lpstr>A-B Coding</vt:lpstr>
      <vt:lpstr>MP Coding</vt:lpstr>
      <vt:lpstr>UCR Segmentation</vt:lpstr>
      <vt:lpstr>QA Rules</vt:lpstr>
      <vt:lpstr>Codebook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Jingyang E</cp:lastModifiedBy>
  <dcterms:modified xsi:type="dcterms:W3CDTF">2026-08-09T09:41:08Z</dcterms:modified>
</cp:coreProperties>
</file>