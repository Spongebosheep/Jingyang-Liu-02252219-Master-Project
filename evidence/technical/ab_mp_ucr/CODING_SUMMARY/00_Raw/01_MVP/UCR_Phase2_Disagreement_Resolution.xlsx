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esktop\"/>
    </mc:Choice>
  </mc:AlternateContent>
  <bookViews>
    <workbookView windowWidth="14508" windowHeight="12780" activeTab="1"/>
  </bookViews>
  <sheets>
    <sheet name="Resolution" sheetId="1" r:id="rId1"/>
    <sheet name="Rul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<sst xmlns="http://schemas.openxmlformats.org/spreadsheetml/2006/main" count="58" uniqueCount="57">
  <si>
    <t>PurrStone v10.2 — one-row blinded UCR disagreement resolution</t>
  </si>
  <si>
    <t>Resolve only the single row below. Keep the condition identity blinded. Do not alter either original judgement. The final label must be agreed by both coders or entered by a named human adjudicator, with a source-based rationale.</t>
  </si>
  <si>
    <t>Frozen inventory SHA-256</t>
  </si>
  <si>
    <t>f8708132168cb35d63769dc2c50929bc67ab6856e991a9accb53ad0efe3645d6</t>
  </si>
  <si>
    <t>Coder01 return SHA-256</t>
  </si>
  <si>
    <t>8f0b7ab32efd17a3b8ef286b1341a42de60103664255404ef2993701ede94f05</t>
  </si>
  <si>
    <t>Coder02 return SHA-256</t>
  </si>
  <si>
    <t>b4184cb99ccd9957ecddf5edd99a4aaa9dfc2f0ea12bdeed3ea1cf375ad1f042</t>
  </si>
  <si>
    <t>Initial agreement</t>
  </si>
  <si>
    <t>45/46 (97.8%); κ = 0.789</t>
  </si>
  <si>
    <t>Proposition ID</t>
  </si>
  <si>
    <t>Blind item</t>
  </si>
  <si>
    <t>Participant source</t>
  </si>
  <si>
    <t>Frozen proposition</t>
  </si>
  <si>
    <t>Coder01 original</t>
  </si>
  <si>
    <t>Coder02 original</t>
  </si>
  <si>
    <t>Final label</t>
  </si>
  <si>
    <t>Resolution rationale</t>
  </si>
  <si>
    <t>Resolvers / adjudicator</t>
  </si>
  <si>
    <t>Resolved at (ISO + timezone)</t>
  </si>
  <si>
    <t>SF-008-P02</t>
  </si>
  <si>
    <t>SF-008</t>
  </si>
  <si>
    <t>On a crowded train, the carriage stopped between stations while alarms sounded. The noise and crowding made me feel trapped and overwhelmed.</t>
  </si>
  <si>
    <t>The participant described the experience as sensory overload.</t>
  </si>
  <si>
    <t>unsupported — The source describes feeling trapped and overwhelmed but does not state or clearly establish the category 'sensory overload'. I would not treat that interpretive label as source-supported.</t>
  </si>
  <si>
    <t>supported — The source does not use the term 'sensory overload', but it describes alarms, noise and crowding together with feeling trapped and overwhelmed. I read the proposition as a concise description of that experience rather than as a separate factual claim.</t>
  </si>
  <si>
    <t>unsupported</t>
  </si>
  <si>
    <t>The source says the participant felt trapped and overwhelmed, but it does not state or clearly entail that the participant described the experience using the category 'sensory overload'. Under the frozen Phase 2 rule, that interpretive category is therefore not established by the displayed source.</t>
  </si>
  <si>
    <t>Coder01 and Coder02</t>
  </si>
  <si>
    <t>2026-08-10T01:05:00+0800</t>
  </si>
  <si>
    <t>Resolution QA</t>
  </si>
  <si>
    <t>Status</t>
  </si>
  <si>
    <t>Important: this resolution changes the final UCR only. The reported independent agreement remains 45/46 (97.8%) and κ remains 0.789.</t>
  </si>
  <si>
    <t>Resolution rules</t>
  </si>
  <si>
    <t>Topic</t>
  </si>
  <si>
    <t>Rule</t>
  </si>
  <si>
    <t>Apply here</t>
  </si>
  <si>
    <t>Do not do</t>
  </si>
  <si>
    <t>supported</t>
  </si>
  <si>
    <t>Every material element is directly stated or clearly entailed by the displayed participant source.</t>
  </si>
  <si>
    <t>Decide whether the attribution “described ... as sensory overload” is clearly entailed.</t>
  </si>
  <si>
    <t>Do not mark supported merely because the label is plausible.</t>
  </si>
  <si>
    <t>At least one material element is added, contradicted, or not established.</t>
  </si>
  <si>
    <t>Identify the unsupported interpretive category or explain why it is entailed.</t>
  </si>
  <si>
    <t>Do not use a partial or uncertain label.</t>
  </si>
  <si>
    <t>Evidence boundary</t>
  </si>
  <si>
    <t>Use only the displayed participant source.</t>
  </si>
  <si>
    <t>Keep SF-008 and system condition blinded.</t>
  </si>
  <si>
    <t>Do not use A/B, MP, expected result, or system identity.</t>
  </si>
  <si>
    <t>Original answers</t>
  </si>
  <si>
    <t>Preserve both independent returns unchanged.</t>
  </si>
  <si>
    <t>Enter resolution only in the yellow cells.</t>
  </si>
  <si>
    <t>Do not overwrite Coder01 or Coder02 labels.</t>
  </si>
  <si>
    <t>Reporting</t>
  </si>
  <si>
    <t>Agreement is calculated before resolution.</t>
  </si>
  <si>
    <t>Final UCR uses the separate final label.</t>
  </si>
  <si>
    <t>Do not report post-consensus 100% as independent agreement.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</si>
</sst>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rlito"/>
      <charset val="134"/>
    </font>
    <font>
      <b/>
      <sz val="16"/>
      <color rgb="FFFFFFFF"/>
      <name val="Carlito"/>
      <charset val="134"/>
    </font>
    <font>
      <b/>
      <sz val="11"/>
      <color rgb="FFFFFFFF"/>
      <name val="Carlito"/>
      <charset val="134"/>
    </font>
    <font>
      <b/>
      <sz val="10"/>
      <color rgb="FF143A52"/>
      <name val="Carlito"/>
      <charset val="134"/>
    </font>
    <font>
      <sz val="10"/>
      <color rgb="FF17242D"/>
      <name val="Carlito"/>
      <charset val="134"/>
    </font>
    <font>
      <b/>
      <sz val="11"/>
      <color rgb="FF143A52"/>
      <name val="Carlito"/>
      <charset val="134"/>
    </font>
    <font>
      <b/>
      <sz val="11"/>
      <color rgb="FF8A3A00"/>
      <name val="Carlito"/>
      <charset val="134"/>
    </font>
    <font>
      <i/>
      <sz val="11"/>
      <color rgb="FF17242D"/>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43A52"/>
        <bgColor indexed="64"/>
      </patternFill>
    </fill>
    <fill>
      <patternFill patternType="solid">
        <fgColor rgb="FFE8F1F5"/>
        <bgColor indexed="64"/>
      </patternFill>
    </fill>
    <fill>
      <patternFill patternType="solid">
        <fgColor rgb="FFFFF3C4"/>
        <bgColor indexed="64"/>
      </patternFill>
    </fill>
    <fill>
      <patternFill patternType="solid">
        <fgColor rgb="FFFCE4D6"/>
        <bgColor indexed="64"/>
      </patternFill>
    </fill>
    <fill>
      <patternFill patternType="solid">
        <fgColor rgb="FFF2F4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9C8D0"/>
      </left>
      <right/>
      <top style="thin">
        <color rgb="FFB9C8D0"/>
      </top>
      <bottom style="thin">
        <color rgb="FFB9C8D0"/>
      </bottom>
      <diagonal/>
    </border>
    <border>
      <left/>
      <right/>
      <top style="thin">
        <color rgb="FFB9C8D0"/>
      </top>
      <bottom style="thin">
        <color rgb="FFB9C8D0"/>
      </bottom>
      <diagonal/>
    </border>
    <border>
      <left/>
      <right style="thin">
        <color rgb="FFB9C8D0"/>
      </right>
      <top style="thin">
        <color rgb="FFB9C8D0"/>
      </top>
      <bottom style="thin">
        <color rgb="FFB9C8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7"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8" borderId="7" applyNumberFormat="0" applyAlignment="0" applyProtection="0">
      <alignment vertical="center"/>
    </xf>
    <xf numFmtId="0" fontId="18" fillId="9" borderId="8" applyNumberFormat="0" applyAlignment="0" applyProtection="0">
      <alignment vertical="center"/>
    </xf>
    <xf numFmtId="0" fontId="19" fillId="9" borderId="7" applyNumberFormat="0" applyAlignment="0" applyProtection="0">
      <alignment vertical="center"/>
    </xf>
    <xf numFmtId="0" fontId="20" fillId="10"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xf numFmtId="0" fontId="0" fillId="0" borderId="0"/>
  </cellStyleXfs>
  <cellXfs count="12">
    <xf numFmtId="0" fontId="0" fillId="0" borderId="0" xfId="49"/>
    <xf numFmtId="0" fontId="1" fillId="2" borderId="0" xfId="49" applyNumberFormat="1" applyFont="1" applyFill="1" applyBorder="1" applyAlignment="1">
      <alignment vertical="center"/>
    </xf>
    <xf numFmtId="0" fontId="2" fillId="2" borderId="1" xfId="49" applyNumberFormat="1" applyFont="1" applyFill="1" applyBorder="1" applyAlignment="1">
      <alignment vertical="center" wrapText="1"/>
    </xf>
    <xf numFmtId="0" fontId="2" fillId="2" borderId="2" xfId="49" applyNumberFormat="1" applyFont="1" applyFill="1" applyBorder="1" applyAlignment="1">
      <alignment vertical="center" wrapText="1"/>
    </xf>
    <xf numFmtId="0" fontId="2" fillId="2" borderId="3" xfId="49" applyNumberFormat="1" applyFont="1" applyFill="1" applyBorder="1" applyAlignment="1">
      <alignment vertical="center" wrapText="1"/>
    </xf>
    <xf numFmtId="0" fontId="3" fillId="3" borderId="0" xfId="49" applyNumberFormat="1" applyFont="1" applyFill="1" applyBorder="1" applyAlignment="1">
      <alignment vertical="top" wrapText="1"/>
    </xf>
    <xf numFmtId="0" fontId="4" fillId="0" borderId="0" xfId="49" applyNumberFormat="1" applyFont="1" applyFill="1" applyBorder="1" applyAlignment="1">
      <alignment vertical="top" wrapText="1"/>
    </xf>
    <xf numFmtId="0" fontId="0" fillId="3" borderId="0" xfId="49" applyNumberFormat="1" applyFont="1" applyFill="1" applyBorder="1" applyAlignment="1">
      <alignment vertical="center" wrapText="1"/>
    </xf>
    <xf numFmtId="0" fontId="5" fillId="3" borderId="0" xfId="49" applyNumberFormat="1" applyFont="1" applyFill="1" applyBorder="1" applyAlignment="1">
      <alignment wrapText="1"/>
    </xf>
    <xf numFmtId="0" fontId="4" fillId="4" borderId="0" xfId="49" applyNumberFormat="1" applyFont="1" applyFill="1" applyBorder="1" applyAlignment="1">
      <alignment vertical="top" wrapText="1"/>
    </xf>
    <xf numFmtId="0" fontId="6" fillId="5" borderId="0" xfId="49" applyNumberFormat="1" applyFont="1" applyFill="1" applyBorder="1"/>
    <xf numFmtId="0" fontId="7" fillId="6" borderId="0" xfId="49"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showGridLines="0" topLeftCell="G1" workbookViewId="0">
      <selection activeCell="I12" sqref="I12"/>
    </sheetView>
  </sheetViews>
  <sheetFormatPr defaultColWidth="9" defaultRowHeight="13.8"/>
  <cols>
    <col min="1" max="1" width="16" customWidth="1"/>
    <col min="2" max="2" width="11" customWidth="1"/>
    <col min="3" max="3" width="48" customWidth="1"/>
    <col min="4" max="4" width="42" customWidth="1"/>
    <col min="5" max="6" width="50" customWidth="1"/>
    <col min="7" max="7" width="15" customWidth="1"/>
    <col min="8" max="8" width="48" customWidth="1"/>
    <col min="9" max="9" width="24" customWidth="1"/>
    <col min="10" max="10" width="26" customWidth="1"/>
  </cols>
  <sheetData>
    <row r="1" ht="19.2" customHeight="1" spans="1:10">
      <c r="A1" s="1" t="s">
        <v>0</v>
      </c>
      <c r="B1" s="1"/>
      <c r="C1" s="1"/>
      <c r="D1" s="1"/>
      <c r="E1" s="1"/>
      <c r="F1" s="1"/>
      <c r="G1" s="1"/>
      <c r="H1" s="1"/>
      <c r="I1" s="1"/>
      <c r="J1" s="1"/>
    </row>
    <row r="3" spans="1:10">
      <c r="A3" s="7" t="s">
        <v>1</v>
      </c>
      <c r="B3" s="7"/>
      <c r="C3" s="7"/>
      <c r="D3" s="7"/>
      <c r="E3" s="7"/>
      <c r="F3" s="7"/>
      <c r="G3" s="7"/>
      <c r="H3" s="7"/>
      <c r="I3" s="7"/>
      <c r="J3" s="7"/>
    </row>
    <row r="4" spans="1:10">
      <c r="A4" s="7"/>
      <c r="B4" s="7"/>
      <c r="C4" s="7"/>
      <c r="D4" s="7"/>
      <c r="E4" s="7"/>
      <c r="F4" s="7"/>
      <c r="G4" s="7"/>
      <c r="H4" s="7"/>
      <c r="I4" s="7"/>
      <c r="J4" s="7"/>
    </row>
    <row r="6" ht="26.4" customHeight="1" spans="1:10">
      <c r="A6" s="8" t="s">
        <v>2</v>
      </c>
      <c r="B6" s="6" t="s">
        <v>3</v>
      </c>
    </row>
    <row r="7" ht="26.4" customHeight="1" spans="1:10">
      <c r="A7" s="8" t="s">
        <v>4</v>
      </c>
      <c r="B7" s="6" t="s">
        <v>5</v>
      </c>
    </row>
    <row r="8" ht="26.4" customHeight="1" spans="1:10">
      <c r="A8" s="8" t="s">
        <v>6</v>
      </c>
      <c r="B8" s="6" t="s">
        <v>7</v>
      </c>
    </row>
    <row r="9" ht="15" customHeight="1" spans="1:10">
      <c r="A9" s="8" t="s">
        <v>8</v>
      </c>
      <c r="B9" s="6" t="s">
        <v>9</v>
      </c>
    </row>
    <row r="11" ht="15" customHeight="1" spans="1:10">
      <c r="A11" s="2" t="s">
        <v>10</v>
      </c>
      <c r="B11" s="3" t="s">
        <v>11</v>
      </c>
      <c r="C11" s="3" t="s">
        <v>12</v>
      </c>
      <c r="D11" s="3" t="s">
        <v>13</v>
      </c>
      <c r="E11" s="3" t="s">
        <v>14</v>
      </c>
      <c r="F11" s="3" t="s">
        <v>15</v>
      </c>
      <c r="G11" s="3" t="s">
        <v>16</v>
      </c>
      <c r="H11" s="3" t="s">
        <v>17</v>
      </c>
      <c r="I11" s="3" t="s">
        <v>18</v>
      </c>
      <c r="J11" s="4" t="s">
        <v>19</v>
      </c>
    </row>
    <row r="12" ht="66" customHeight="1" spans="1:10">
      <c r="A12" s="6" t="s">
        <v>20</v>
      </c>
      <c r="B12" s="6" t="s">
        <v>21</v>
      </c>
      <c r="C12" s="6" t="s">
        <v>22</v>
      </c>
      <c r="D12" s="6" t="s">
        <v>23</v>
      </c>
      <c r="E12" s="6" t="s">
        <v>24</v>
      </c>
      <c r="F12" s="6" t="s">
        <v>25</v>
      </c>
      <c r="G12" s="9" t="s">
        <v>26</v>
      </c>
      <c r="H12" s="9" t="s">
        <v>27</v>
      </c>
      <c r="I12" s="9" t="s">
        <v>28</v>
      </c>
      <c r="J12" s="9" t="s">
        <v>29</v>
      </c>
    </row>
    <row r="14" ht="15" customHeight="1" spans="1:10">
      <c r="A14" s="8" t="s">
        <v>30</v>
      </c>
      <c r="B14" s="10" t="str">
        <f>IF(AND(OR(G12="supported",G12="unsupported"),LEN(TRIM(H12))&gt;=12,LEN(TRIM(I12))&gt;=3,LEN(J12)&gt;=20,ISNUMBER(SEARCH("T",J12))),"PASS","CHECK")</f>
        <v>PASS</v>
      </c>
    </row>
    <row r="15" ht="15" customHeight="1" spans="1:10">
      <c r="A15" s="8" t="s">
        <v>31</v>
      </c>
      <c r="B15" s="10" t="str">
        <f>IF(B14="PASS","READY FOR FINAL UCR FREEZE","PENDING")</f>
        <v>READY FOR FINAL UCR FREEZE</v>
      </c>
    </row>
    <row r="17" ht="15" customHeight="1" spans="1:10">
      <c r="A17" s="11" t="s">
        <v>32</v>
      </c>
      <c r="B17" s="11"/>
      <c r="C17" s="11"/>
      <c r="D17" s="11"/>
      <c r="E17" s="11"/>
      <c r="F17" s="11"/>
      <c r="G17" s="11"/>
      <c r="H17" s="11"/>
      <c r="I17" s="11"/>
      <c r="J17" s="11"/>
    </row>
  </sheetData>
  <mergeCells count="7">
    <mergeCell ref="A1:J1"/>
    <mergeCell ref="B6:J6"/>
    <mergeCell ref="B7:J7"/>
    <mergeCell ref="B8:J8"/>
    <mergeCell ref="B9:J9"/>
    <mergeCell ref="A17:J17"/>
    <mergeCell ref="A3:J4"/>
  </mergeCells>
  <dataValidations count="1">
    <dataValidation type="list" sqref="G12">
      <formula1>"supported,unsupported"</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showGridLines="0" tabSelected="1" workbookViewId="0">
      <selection activeCell="A1" sqref="A1:D1"/>
    </sheetView>
  </sheetViews>
  <sheetFormatPr defaultColWidth="9" defaultRowHeight="13.8" outlineLevelRow="7" outlineLevelCol="3"/>
  <cols>
    <col min="1" max="1" width="20" customWidth="1"/>
    <col min="2" max="4" width="48" customWidth="1"/>
  </cols>
  <sheetData>
    <row r="1" ht="19.2" customHeight="1" spans="1:4">
      <c r="A1" s="1" t="s">
        <v>33</v>
      </c>
      <c r="B1" s="1"/>
      <c r="C1" s="1"/>
      <c r="D1" s="1"/>
    </row>
    <row r="3" ht="15" customHeight="1" spans="1:4">
      <c r="A3" s="2" t="s">
        <v>34</v>
      </c>
      <c r="B3" s="3" t="s">
        <v>35</v>
      </c>
      <c r="C3" s="3" t="s">
        <v>36</v>
      </c>
      <c r="D3" s="4" t="s">
        <v>37</v>
      </c>
    </row>
    <row r="4" ht="24" customHeight="1" spans="1:4">
      <c r="A4" s="5" t="s">
        <v>38</v>
      </c>
      <c r="B4" s="6" t="s">
        <v>39</v>
      </c>
      <c r="C4" s="6" t="s">
        <v>40</v>
      </c>
      <c r="D4" s="6" t="s">
        <v>41</v>
      </c>
    </row>
    <row r="5" ht="24" customHeight="1" spans="1:4">
      <c r="A5" s="5" t="s">
        <v>26</v>
      </c>
      <c r="B5" s="6" t="s">
        <v>42</v>
      </c>
      <c r="C5" s="6" t="s">
        <v>43</v>
      </c>
      <c r="D5" s="6" t="s">
        <v>44</v>
      </c>
    </row>
    <row r="6" ht="15" customHeight="1" spans="1:4">
      <c r="A6" s="5" t="s">
        <v>45</v>
      </c>
      <c r="B6" s="6" t="s">
        <v>46</v>
      </c>
      <c r="C6" s="6" t="s">
        <v>47</v>
      </c>
      <c r="D6" s="6" t="s">
        <v>48</v>
      </c>
    </row>
    <row r="7" ht="15" customHeight="1" spans="1:4">
      <c r="A7" s="5" t="s">
        <v>49</v>
      </c>
      <c r="B7" s="6" t="s">
        <v>50</v>
      </c>
      <c r="C7" s="6" t="s">
        <v>51</v>
      </c>
      <c r="D7" s="6" t="s">
        <v>52</v>
      </c>
    </row>
    <row r="8" ht="15" customHeight="1" spans="1:4">
      <c r="A8" s="5" t="s">
        <v>53</v>
      </c>
      <c r="B8" s="6" t="s">
        <v>54</v>
      </c>
      <c r="C8" s="6" t="s">
        <v>55</v>
      </c>
      <c r="D8" s="6" t="s">
        <v>56</v>
      </c>
    </row>
  </sheetData>
  <mergeCells count="1">
    <mergeCell ref="A1:D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Resolution</vt:lpstr>
      <vt:lpstr>Rules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Edson</cp:lastModifiedBy>
  <dcterms:created xsi:type="dcterms:W3CDTF">2026-08-09T17:06:36Z</dcterms:created>
  <dcterms:modified xsi:type="dcterms:W3CDTF">2026-08-09T17:07:45Z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C20D339E958F4801937C62A98C6E3001_12</vt:lpwstr>
  </property>
  <property fmtid="{D5CDD505-2E9C-101B-9397-08002B2CF9AE}" pid="3" name="KSOProductBuildVer">
    <vt:lpwstr>2052-12.1.0.28043</vt:lpwstr>
  </property>
  <property fmtid="{D5CDD505-2E9C-101B-9397-08002B2CF9AE}" pid="4" name="CalculationRule">
    <vt:i4>0</vt:i4>
  </property>
</Properties>
</file>