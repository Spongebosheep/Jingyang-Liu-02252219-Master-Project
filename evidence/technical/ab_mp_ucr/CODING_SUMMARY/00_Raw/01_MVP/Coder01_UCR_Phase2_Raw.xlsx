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5B378651-3132-4C6C-8DC3-42612B8413D1}" xr6:coauthVersionLast="47" xr6:coauthVersionMax="47" xr10:uidLastSave="{00000000-0000-0000-0000-000000000000}"/>
  <bookViews>
    <workbookView xWindow="15264" yWindow="0" windowWidth="15552" windowHeight="16656" xr2:uid="{00000000-000D-0000-FFFF-FFFF00000000}"/>
  </bookViews>
  <sheets>
    <sheet name="Start Here" sheetId="1" r:id="rId1"/>
    <sheet name="Phase 2 Coding" sheetId="2" r:id="rId2"/>
    <sheet name="Codebook" sheetId="3" r:id="rId3"/>
    <sheet name="QA Summar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4" l="1"/>
  <c r="B10" i="4"/>
  <c r="B8" i="4"/>
  <c r="B7" i="4"/>
  <c r="B6" i="4"/>
  <c r="B5" i="4"/>
  <c r="B4" i="4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B9" i="4" s="1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B14" i="4" l="1"/>
  <c r="B22" i="1" s="1"/>
</calcChain>
</file>

<file path=xl/sharedStrings.xml><?xml version="1.0" encoding="utf-8"?>
<sst xmlns="http://schemas.openxmlformats.org/spreadsheetml/2006/main" count="535" uniqueCount="272">
  <si>
    <t>PurrStone v10.2 — Coder01 UCR Phase 2 independent coding</t>
  </si>
  <si>
    <t>Package ID</t>
  </si>
  <si>
    <t>purrstone-v10.2-ucr-phase2-r1-20260809</t>
  </si>
  <si>
    <t>Coder ID</t>
  </si>
  <si>
    <t>Coder01</t>
  </si>
  <si>
    <t>Frozen inventory SHA-256</t>
  </si>
  <si>
    <t>f8708132168cb35d63769dc2c50929bc67ab6856e991a9accb53ad0efe3645d6</t>
  </si>
  <si>
    <t>Source-material set SHA-256</t>
  </si>
  <si>
    <t>74257b3bcc011af93a127466acee00c819fd87ba67386d29f2f34906b1e8c1aa</t>
  </si>
  <si>
    <t>Frozen proposition rows</t>
  </si>
  <si>
    <t>Blind items</t>
  </si>
  <si>
    <t>Required declarations and completion record</t>
  </si>
  <si>
    <t>I have read CODING_PROTOCOL_PHASE2.md</t>
  </si>
  <si>
    <t>Yes</t>
  </si>
  <si>
    <t>I will label every proposition independently</t>
  </si>
  <si>
    <t>I will not discuss labels before returning my workbook</t>
  </si>
  <si>
    <t>I will use only the displayed participant source</t>
  </si>
  <si>
    <t>I will not seek condition or item-identity keys</t>
  </si>
  <si>
    <t>Started at (ISO-8601 with timezone)</t>
  </si>
  <si>
    <t>2026-08-09T18:47:12+0800</t>
  </si>
  <si>
    <t>Completed at (ISO-8601 with timezone)</t>
  </si>
  <si>
    <t>2026-08-09T19:59:57+0800</t>
  </si>
  <si>
    <t>Typed name or agreed pseudonym</t>
  </si>
  <si>
    <t>I confirm this Phase 2 workbook is my independent work</t>
  </si>
  <si>
    <t>Workbook QA</t>
  </si>
  <si>
    <t>Scope: label only the 46 frozen propositions in Phase 2 Coding. Do not merge, split, delete, reword, or add propositions. Return only the completed .xlsx file to the administrator.</t>
  </si>
  <si>
    <t>UCR Phase 2 — frozen common proposition inventory</t>
  </si>
  <si>
    <t>Yellow cells are coder inputs. Use supported only when every material part of the proposition is directly stated or clearly entailed by the displayed participant source.</t>
  </si>
  <si>
    <t>Proposition ID</t>
  </si>
  <si>
    <t>Blind item ID</t>
  </si>
  <si>
    <t>Material file</t>
  </si>
  <si>
    <t>Frozen atomic proposition</t>
  </si>
  <si>
    <t>Support label</t>
  </si>
  <si>
    <t>Source-based rationale</t>
  </si>
  <si>
    <t>Confidence (1–3)</t>
  </si>
  <si>
    <t>Completed at (ISO + timezone)</t>
  </si>
  <si>
    <t>Row QA</t>
  </si>
  <si>
    <t>SF-001-P01</t>
  </si>
  <si>
    <t>SF-001</t>
  </si>
  <si>
    <t>materials/mp_ucr/items/SF-001.html</t>
  </si>
  <si>
    <t>Sharp braking noise was one of the participant's strongest triggers.</t>
  </si>
  <si>
    <t>supported</t>
  </si>
  <si>
    <t>The participant explicitly names sharp braking noise as one of the strongest triggers.</t>
  </si>
  <si>
    <t>2026-08-09T18:48:15+0800</t>
  </si>
  <si>
    <t>SF-001-P02</t>
  </si>
  <si>
    <t>Flashing carriage lights were one of the participant's strongest triggers.</t>
  </si>
  <si>
    <t>Flashing carriage lights are explicitly included in the participant's list of strongest triggers.</t>
  </si>
  <si>
    <t>2026-08-09T18:49:29+0800</t>
  </si>
  <si>
    <t>SF-001-P03</t>
  </si>
  <si>
    <t>Crowding was one of the participant's strongest triggers.</t>
  </si>
  <si>
    <t>Crowding is directly listed alongside the other strongest triggers.</t>
  </si>
  <si>
    <t>2026-08-09T18:50:54+0800</t>
  </si>
  <si>
    <t>SF-001-P04</t>
  </si>
  <si>
    <t>The participant's shoulders tightened.</t>
  </si>
  <si>
    <t>The source directly states that the participant's shoulders tightened.</t>
  </si>
  <si>
    <t>2026-08-09T18:52:01+0800</t>
  </si>
  <si>
    <t>SF-001-P05</t>
  </si>
  <si>
    <t>The participant's heart raced.</t>
  </si>
  <si>
    <t>The participant directly reports that their heart raced.</t>
  </si>
  <si>
    <t>2026-08-09T18:53:19+0800</t>
  </si>
  <si>
    <t>SF-001-P06</t>
  </si>
  <si>
    <t>The participant felt panicked.</t>
  </si>
  <si>
    <t>The source explicitly says that the participant felt panicked.</t>
  </si>
  <si>
    <t>2026-08-09T18:54:48+0800</t>
  </si>
  <si>
    <t>SF-002-P01</t>
  </si>
  <si>
    <t>SF-002</t>
  </si>
  <si>
    <t>materials/mp_ucr/items/SF-002.html</t>
  </si>
  <si>
    <t>The participant covered their ears.</t>
  </si>
  <si>
    <t>The participant directly states that they covered their ears.</t>
  </si>
  <si>
    <t>2026-08-09T18:55:59+0800</t>
  </si>
  <si>
    <t>SF-002-P02</t>
  </si>
  <si>
    <t>The participant focused on slow breathing.</t>
  </si>
  <si>
    <t>The source directly reports that the participant focused on slow breathing.</t>
  </si>
  <si>
    <t>2026-08-09T18:57:21+0800</t>
  </si>
  <si>
    <t>SF-002-P03</t>
  </si>
  <si>
    <t>The participant left at the next stop.</t>
  </si>
  <si>
    <t>The participant explicitly says they left at the next stop.</t>
  </si>
  <si>
    <t>2026-08-09T18:58:25+0800</t>
  </si>
  <si>
    <t>SF-002-P04</t>
  </si>
  <si>
    <t>A quieter carriage would have helped the participant.</t>
  </si>
  <si>
    <t>The participant states that a quieter carriage would have helped.</t>
  </si>
  <si>
    <t>2026-08-09T18:59:40+0800</t>
  </si>
  <si>
    <t>SF-002-P05</t>
  </si>
  <si>
    <t>A warning before the alarm would have helped the participant.</t>
  </si>
  <si>
    <t>The source says that a warning before the alarm would have helped.</t>
  </si>
  <si>
    <t>2026-08-09T19:01:06+0800</t>
  </si>
  <si>
    <t>SF-002-P06</t>
  </si>
  <si>
    <t>The repeated announcements did not help because they added more noise.</t>
  </si>
  <si>
    <t>The source explicitly links the announcements not helping to their adding more noise.</t>
  </si>
  <si>
    <t>2026-08-09T19:02:14+0800</t>
  </si>
  <si>
    <t>SF-003-P01</t>
  </si>
  <si>
    <t>SF-003</t>
  </si>
  <si>
    <t>materials/mp_ucr/items/SF-003.html</t>
  </si>
  <si>
    <t>The squeeze interaction seemed useful because it would give the participant's hands a focus.</t>
  </si>
  <si>
    <t>The source states that the squeeze interaction seemed useful because it would give the participant's hands a focus.</t>
  </si>
  <si>
    <t>2026-08-09T19:03:43+0800</t>
  </si>
  <si>
    <t>SF-003-P02</t>
  </si>
  <si>
    <t>Gentle haptics might help the participant pace their breathing.</t>
  </si>
  <si>
    <t>The participant directly says gentle haptics might help them pace their breathing.</t>
  </si>
  <si>
    <t>2026-08-09T19:05:25+0800</t>
  </si>
  <si>
    <t>SF-003-P03</t>
  </si>
  <si>
    <t>The participant would avoid scent because it could be another trigger.</t>
  </si>
  <si>
    <t>The source says the participant would avoid scent because it could be another trigger.</t>
  </si>
  <si>
    <t>2026-08-09T19:07:20+0800</t>
  </si>
  <si>
    <t>SF-003-P04</t>
  </si>
  <si>
    <t>The participant wanted every feature to be optional.</t>
  </si>
  <si>
    <t>The participant explicitly says they would want every feature to be optional.</t>
  </si>
  <si>
    <t>2026-08-09T19:08:57+0800</t>
  </si>
  <si>
    <t>SF-004-P01</t>
  </si>
  <si>
    <t>SF-004</t>
  </si>
  <si>
    <t>materials/mp_ucr/items/SF-004.html</t>
  </si>
  <si>
    <t>The source directly reports that the participant covered their ears.</t>
  </si>
  <si>
    <t>2026-08-09T19:10:02+0800</t>
  </si>
  <si>
    <t>SF-004-P02</t>
  </si>
  <si>
    <t>The participant explicitly reports focusing on slow breathing.</t>
  </si>
  <si>
    <t>2026-08-09T19:11:18+0800</t>
  </si>
  <si>
    <t>SF-004-P03</t>
  </si>
  <si>
    <t>The source states that the participant left at the next stop.</t>
  </si>
  <si>
    <t>2026-08-09T19:12:45+0800</t>
  </si>
  <si>
    <t>SF-004-P04</t>
  </si>
  <si>
    <t>A quieter carriage is directly identified by the participant as something that would have helped.</t>
  </si>
  <si>
    <t>2026-08-09T19:13:54+0800</t>
  </si>
  <si>
    <t>SF-004-P05</t>
  </si>
  <si>
    <t>The participant directly identifies a warning before the alarm as something that would have helped.</t>
  </si>
  <si>
    <t>2026-08-09T19:15:14+0800</t>
  </si>
  <si>
    <t>SF-004-P06</t>
  </si>
  <si>
    <t>The participant explicitly says the repeated announcements did not help because they added more noise.</t>
  </si>
  <si>
    <t>2026-08-09T19:16:45+0800</t>
  </si>
  <si>
    <t>SF-005-P01</t>
  </si>
  <si>
    <t>SF-005</t>
  </si>
  <si>
    <t>materials/mp_ucr/items/SF-005.html</t>
  </si>
  <si>
    <t>Sharp braking noise is directly included in the source as one of the strongest triggers.</t>
  </si>
  <si>
    <t>2026-08-09T19:17:58+0800</t>
  </si>
  <si>
    <t>SF-005-P02</t>
  </si>
  <si>
    <t>The participant directly identifies flashing carriage lights as one of the strongest triggers.</t>
  </si>
  <si>
    <t>2026-08-09T19:19:22+0800</t>
  </si>
  <si>
    <t>SF-005-P03</t>
  </si>
  <si>
    <t>The source explicitly includes crowding among the strongest triggers.</t>
  </si>
  <si>
    <t>2026-08-09T19:20:28+0800</t>
  </si>
  <si>
    <t>SF-005-P04</t>
  </si>
  <si>
    <t>The participant states that their shoulders tightened.</t>
  </si>
  <si>
    <t>2026-08-09T19:21:45+0800</t>
  </si>
  <si>
    <t>SF-005-P05</t>
  </si>
  <si>
    <t>The source directly states that the participant's heart raced.</t>
  </si>
  <si>
    <t>2026-08-09T19:23:13+0800</t>
  </si>
  <si>
    <t>SF-005-P06</t>
  </si>
  <si>
    <t>The participant directly reports feeling panicked.</t>
  </si>
  <si>
    <t>2026-08-09T19:24:23+0800</t>
  </si>
  <si>
    <t>SF-006-P01</t>
  </si>
  <si>
    <t>SF-006</t>
  </si>
  <si>
    <t>materials/mp_ucr/items/SF-006.html</t>
  </si>
  <si>
    <t>The participant says the squeeze interaction seemed useful because it would give their hands a focus.</t>
  </si>
  <si>
    <t>2026-08-09T19:26:14+0800</t>
  </si>
  <si>
    <t>SF-006-P02</t>
  </si>
  <si>
    <t>The source directly supports the modal claim that gentle haptics might help pace the participant's breathing.</t>
  </si>
  <si>
    <t>2026-08-09T19:27:47+0800</t>
  </si>
  <si>
    <t>SF-006-P03</t>
  </si>
  <si>
    <t>The participant explicitly says they would avoid scent because it could be another trigger.</t>
  </si>
  <si>
    <t>2026-08-09T19:29:33+0800</t>
  </si>
  <si>
    <t>SF-006-P04</t>
  </si>
  <si>
    <t>The source directly states the participant's preference for every feature to be optional.</t>
  </si>
  <si>
    <t>2026-08-09T19:31:01+0800</t>
  </si>
  <si>
    <t>SF-007-P01</t>
  </si>
  <si>
    <t>SF-007</t>
  </si>
  <si>
    <t>materials/mp_ucr/items/SF-007.html</t>
  </si>
  <si>
    <t>The participant might use the referenced item ("it") while commuting if it looked discreet and made no sound.</t>
  </si>
  <si>
    <t>The source directly gives this conditional use statement: the participant might use it while commuting if it were discreet and silent.</t>
  </si>
  <si>
    <t>2026-08-09T19:32:42+0800</t>
  </si>
  <si>
    <t>SF-007-P02</t>
  </si>
  <si>
    <t>Obvious lights would embarrass the participant.</t>
  </si>
  <si>
    <t>The participant explicitly says obvious lights would be embarrassing.</t>
  </si>
  <si>
    <t>2026-08-09T19:34:36+0800</t>
  </si>
  <si>
    <t>SF-007-P03</t>
  </si>
  <si>
    <t>Scent would be a concern for people nearby in a shared space.</t>
  </si>
  <si>
    <t>The source directly states that scent would concern the participant because of people nearby in a shared space.</t>
  </si>
  <si>
    <t>2026-08-09T19:36:12+0800</t>
  </si>
  <si>
    <t>SF-008-P01</t>
  </si>
  <si>
    <t>SF-008</t>
  </si>
  <si>
    <t>materials/mp_ucr/items/SF-008.html</t>
  </si>
  <si>
    <t>The described experience occurred on a crowded train.</t>
  </si>
  <si>
    <t>The participant source explicitly begins with the experience occurring on a crowded train.</t>
  </si>
  <si>
    <t>2026-08-09T19:37:47+0800</t>
  </si>
  <si>
    <t>SF-008-P02</t>
  </si>
  <si>
    <t>The participant described the experience as sensory overload.</t>
  </si>
  <si>
    <t>unsupported</t>
  </si>
  <si>
    <t>The source describes feeling trapped and overwhelmed but does not state or clearly establish the category 'sensory overload'. I would not treat that interpretive label as source-supported.</t>
  </si>
  <si>
    <t>2026-08-09T19:40:45+0800</t>
  </si>
  <si>
    <t>SF-008-P03</t>
  </si>
  <si>
    <t>Alarms made the participant feel trapped.</t>
  </si>
  <si>
    <t>The alarms are only reported as sounding; the causal clause attributes feeling trapped to noise and crowding.</t>
  </si>
  <si>
    <t>2026-08-09T19:43:19+0800</t>
  </si>
  <si>
    <t>SF-008-P04</t>
  </si>
  <si>
    <t>Noise made the participant feel trapped.</t>
  </si>
  <si>
    <t>The source explicitly identifies noise as part of what made the participant feel trapped.</t>
  </si>
  <si>
    <t>2026-08-09T19:45:25+0800</t>
  </si>
  <si>
    <t>SF-008-P05</t>
  </si>
  <si>
    <t>Crowding made the participant feel trapped.</t>
  </si>
  <si>
    <t>Crowding is explicitly identified in the causal phrase describing what made the participant feel trapped.</t>
  </si>
  <si>
    <t>2026-08-09T19:47:26+0800</t>
  </si>
  <si>
    <t>SF-008-P06</t>
  </si>
  <si>
    <t>Alarms made the participant feel overwhelmed.</t>
  </si>
  <si>
    <t>The source says alarms sounded, but it does not attribute the participant's feeling overwhelmed to the alarms.</t>
  </si>
  <si>
    <t>2026-08-09T19:50:06+0800</t>
  </si>
  <si>
    <t>SF-008-P07</t>
  </si>
  <si>
    <t>Noise made the participant feel overwhelmed.</t>
  </si>
  <si>
    <t>Noise is explicitly named as part of what made the participant feel overwhelmed.</t>
  </si>
  <si>
    <t>2026-08-09T19:52:04+0800</t>
  </si>
  <si>
    <t>SF-008-P08</t>
  </si>
  <si>
    <t>Crowding made the participant feel overwhelmed.</t>
  </si>
  <si>
    <t>Crowding is explicitly named as part of what made the participant feel overwhelmed.</t>
  </si>
  <si>
    <t>2026-08-09T19:53:59+0800</t>
  </si>
  <si>
    <t>SF-009-P01</t>
  </si>
  <si>
    <t>SF-009</t>
  </si>
  <si>
    <t>materials/mp_ucr/items/SF-009.html</t>
  </si>
  <si>
    <t>The participant directly says they might use it while commuting if it looked discreet and made no sound.</t>
  </si>
  <si>
    <t>2026-08-09T19:55:28+0800</t>
  </si>
  <si>
    <t>SF-009-P02</t>
  </si>
  <si>
    <t>The source explicitly states that obvious lights would embarrass the participant.</t>
  </si>
  <si>
    <t>2026-08-09T19:57:10+0800</t>
  </si>
  <si>
    <t>SF-009-P03</t>
  </si>
  <si>
    <t>The participant directly says scent would be a concern for people nearby in a shared space.</t>
  </si>
  <si>
    <t>2026-08-09T19:59:05+0800</t>
  </si>
  <si>
    <t>UCR Phase 2 codebook</t>
  </si>
  <si>
    <t>Field</t>
  </si>
  <si>
    <t>Allowed value</t>
  </si>
  <si>
    <t>Operational definition</t>
  </si>
  <si>
    <t>Common error to avoid</t>
  </si>
  <si>
    <t>Every material element of the frozen proposition is directly stated or clearly entailed by the displayed participant source. Paraphrase is allowed.</t>
  </si>
  <si>
    <t>Do not mark supported merely because the proposition sounds plausible or appears in the final reviewed evidence.</t>
  </si>
  <si>
    <t>At least one material element is added, contradicted, or not established by the displayed participant source. Identify the unsupported element in the rationale.</t>
  </si>
  <si>
    <t>There is no partial, uncertain, N/A, or majority-supported label in this frozen Phase 2 rule.</t>
  </si>
  <si>
    <t>Causal claims</t>
  </si>
  <si>
    <t>supported / unsupported</t>
  </si>
  <si>
    <t>A causal relation must be present in the source; co-occurrence alone is insufficient.</t>
  </si>
  <si>
    <t>Do not infer that an event caused a feeling only because both are mentioned.</t>
  </si>
  <si>
    <t>Qualifier</t>
  </si>
  <si>
    <t>preserve strength</t>
  </si>
  <si>
    <t>Modal and strength terms such as might, would, strongest, and optional are material.</t>
  </si>
  <si>
    <t>Do not silently strengthen might to will or one of the strongest to the single strongest.</t>
  </si>
  <si>
    <t>Rationale</t>
  </si>
  <si>
    <t>source based</t>
  </si>
  <si>
    <t>Briefly state which source wording supports the proposition, or which exact element lacks support.</t>
  </si>
  <si>
    <t>Do not refer to the system, condition, expected result, or another coder.</t>
  </si>
  <si>
    <t>Confidence</t>
  </si>
  <si>
    <t>1</t>
  </si>
  <si>
    <t>Low confidence: the source-to-proposition relation is genuinely difficult to interpret.</t>
  </si>
  <si>
    <t>Do not use confidence as a replacement for the binary label.</t>
  </si>
  <si>
    <t>2</t>
  </si>
  <si>
    <t>Moderate confidence: a defensible judgement with some interpretive uncertainty.</t>
  </si>
  <si>
    <t>3</t>
  </si>
  <si>
    <t>High confidence: the source relation is direct and clear.</t>
  </si>
  <si>
    <t>Frozen inventory rule</t>
  </si>
  <si>
    <t>Do not merge, split, delete, reword, or add propositions.</t>
  </si>
  <si>
    <t>Duplicate-looking items</t>
  </si>
  <si>
    <t>Judge each blind item as presented; do not skip a row because wording resembles another item.</t>
  </si>
  <si>
    <t>Evidence boundary</t>
  </si>
  <si>
    <t>Use only the participant source displayed in the corresponding SF HTML page.</t>
  </si>
  <si>
    <t>Phase 2 QA summary</t>
  </si>
  <si>
    <t>Check</t>
  </si>
  <si>
    <t>Observed</t>
  </si>
  <si>
    <t>Expected</t>
  </si>
  <si>
    <t>Support labels entered</t>
  </si>
  <si>
    <t>Rationales entered</t>
  </si>
  <si>
    <t>Confidence values entered</t>
  </si>
  <si>
    <t>Timestamps entered</t>
  </si>
  <si>
    <t>Rows showing PASS</t>
  </si>
  <si>
    <t>Rows showing CHECK</t>
  </si>
  <si>
    <t>Required declarations confirmed</t>
  </si>
  <si>
    <t>Inventory hash matches package</t>
  </si>
  <si>
    <t>Overall workbook QA</t>
  </si>
  <si>
    <t>PASS</t>
  </si>
  <si>
    <t>Coder01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</si>
</sst>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rlito"/>
    </font>
    <font>
      <b/>
      <sz val="10"/>
      <color rgb="FFFFFFFF"/>
      <name val="Aptos"/>
      <family val="2"/>
    </font>
    <font>
      <sz val="10"/>
      <name val="Aptos"/>
      <family val="2"/>
    </font>
    <font>
      <b/>
      <sz val="10"/>
      <color rgb="FF143A52"/>
      <name val="Aptos"/>
      <family val="2"/>
    </font>
    <font>
      <b/>
      <sz val="10"/>
      <color rgb="FF8A3B12"/>
      <name val="Aptos"/>
      <family val="2"/>
    </font>
    <font>
      <sz val="10"/>
      <color rgb="FF245B50"/>
      <name val="Aptos"/>
      <family val="2"/>
    </font>
    <font>
      <b/>
      <sz val="15"/>
      <color rgb="FFFFFFFF"/>
      <name val="Aptos Display"/>
      <family val="2"/>
    </font>
    <font>
      <sz val="10"/>
      <color rgb="FF6B5312"/>
      <name val="Aptos"/>
      <family val="2"/>
    </font>
    <font>
      <sz val="11"/>
      <name val="Carlito"/>
    </font>
    <font>
      <sz val="9"/>
      <name val="宋体"/>
      <family val="3"/>
      <charset val="134"/>
    </font>
  </fonts>
  <fills count="10">
    <fill>
      <patternFill patternType="none"/>
    </fill>
    <fill>
      <patternFill patternType="gray125"/>
    </fill>
    <fill>
      <patternFill patternType="solid">
        <fgColor rgb="FF143A52"/>
      </patternFill>
    </fill>
    <fill>
      <patternFill patternType="solid">
        <fgColor rgb="FFE8F1F4"/>
      </patternFill>
    </fill>
    <fill>
      <patternFill patternType="solid">
        <fgColor rgb="FFF7FAFB"/>
      </patternFill>
    </fill>
    <fill>
      <patternFill patternType="solid">
        <fgColor rgb="FF0E7A86"/>
      </patternFill>
    </fill>
    <fill>
      <patternFill patternType="solid">
        <fgColor rgb="FFFFF4CC"/>
      </patternFill>
    </fill>
    <fill>
      <patternFill patternType="solid">
        <fgColor rgb="FFFFE5CC"/>
      </patternFill>
    </fill>
    <fill>
      <patternFill patternType="solid">
        <fgColor rgb="FFEAF6F2"/>
      </patternFill>
    </fill>
    <fill>
      <patternFill patternType="solid">
        <fgColor rgb="FFF3F6F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/>
  </cellStyleXfs>
  <cellXfs count="18">
    <xf numFmtId="0" fontId="0" fillId="0" borderId="0" xfId="0"/>
    <xf numFmtId="0" fontId="1" fillId="2" borderId="0" xfId="1" applyFont="1" applyFill="1" applyAlignment="1">
      <alignment vertical="top"/>
    </xf>
    <xf numFmtId="0" fontId="2" fillId="0" borderId="0" xfId="1" applyFont="1" applyAlignment="1">
      <alignment vertical="top"/>
    </xf>
    <xf numFmtId="0" fontId="3" fillId="3" borderId="0" xfId="1" applyFont="1" applyFill="1" applyAlignment="1">
      <alignment vertical="top"/>
    </xf>
    <xf numFmtId="0" fontId="2" fillId="4" borderId="0" xfId="1" applyFont="1" applyFill="1" applyAlignment="1">
      <alignment vertical="top"/>
    </xf>
    <xf numFmtId="0" fontId="1" fillId="5" borderId="0" xfId="1" applyFont="1" applyFill="1" applyAlignment="1">
      <alignment vertical="top"/>
    </xf>
    <xf numFmtId="0" fontId="3" fillId="3" borderId="0" xfId="1" applyFont="1" applyFill="1" applyAlignment="1">
      <alignment vertical="top" wrapText="1"/>
    </xf>
    <xf numFmtId="0" fontId="2" fillId="6" borderId="0" xfId="1" applyFont="1" applyFill="1" applyAlignment="1">
      <alignment vertical="top" wrapText="1"/>
    </xf>
    <xf numFmtId="0" fontId="4" fillId="7" borderId="0" xfId="1" applyFont="1" applyFill="1" applyAlignment="1">
      <alignment vertical="top"/>
    </xf>
    <xf numFmtId="0" fontId="2" fillId="9" borderId="0" xfId="1" applyFont="1" applyFill="1" applyAlignment="1">
      <alignment vertical="top"/>
    </xf>
    <xf numFmtId="0" fontId="2" fillId="9" borderId="0" xfId="1" applyFont="1" applyFill="1" applyAlignment="1">
      <alignment vertical="top" wrapText="1"/>
    </xf>
    <xf numFmtId="49" fontId="2" fillId="6" borderId="0" xfId="1" applyNumberFormat="1" applyFont="1" applyFill="1" applyAlignment="1">
      <alignment vertical="top" wrapText="1"/>
    </xf>
    <xf numFmtId="0" fontId="1" fillId="2" borderId="0" xfId="1" applyFont="1" applyFill="1" applyAlignment="1">
      <alignment vertical="top" wrapText="1"/>
    </xf>
    <xf numFmtId="0" fontId="2" fillId="0" borderId="0" xfId="1" applyFont="1" applyAlignment="1">
      <alignment vertical="top" wrapText="1"/>
    </xf>
    <xf numFmtId="0" fontId="4" fillId="7" borderId="0" xfId="1" applyFont="1" applyFill="1" applyAlignment="1">
      <alignment vertical="top" wrapText="1"/>
    </xf>
    <xf numFmtId="0" fontId="6" fillId="2" borderId="0" xfId="1" applyFont="1" applyFill="1" applyAlignment="1">
      <alignment vertical="top"/>
    </xf>
    <xf numFmtId="0" fontId="5" fillId="8" borderId="0" xfId="1" applyFont="1" applyFill="1" applyAlignment="1">
      <alignment vertical="top" wrapText="1"/>
    </xf>
    <xf numFmtId="0" fontId="7" fillId="6" borderId="0" xfId="1" applyFont="1" applyFill="1" applyAlignment="1">
      <alignment vertical="top" wrapText="1"/>
    </xf>
  </cellXfs>
  <cellStyles count="2">
    <cellStyle name="Normal" xfId="1" xr:uid="{00000000-0005-0000-0000-000000000000}"/>
    <cellStyle name="常规" xfId="0" builtinId="0"/>
  </cellStyles>
  <dxfs count="2">
    <dxf>
      <font>
        <b/>
        <color rgb="FF1C6548"/>
      </font>
      <fill>
        <patternFill>
          <bgColor rgb="FFDDF2E6"/>
        </patternFill>
      </fill>
    </dxf>
    <dxf>
      <font>
        <b/>
        <color rgb="FF1C6548"/>
      </font>
      <fill>
        <patternFill>
          <bgColor rgb="FFDDF2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workbookViewId="0">
      <selection activeCell="B19" sqref="B19"/>
    </sheetView>
  </sheetViews>
  <sheetFormatPr defaultRowHeight="13.8"/>
  <cols>
    <col min="1" max="1" width="41" customWidth="1"/>
    <col min="2" max="2" width="74" customWidth="1"/>
    <col min="3" max="4" width="12" customWidth="1"/>
  </cols>
  <sheetData>
    <row r="1" spans="1:4" ht="22.35" customHeight="1">
      <c r="A1" s="15" t="s">
        <v>0</v>
      </c>
      <c r="B1" s="15" t="s">
        <v>0</v>
      </c>
      <c r="C1" s="15" t="s">
        <v>0</v>
      </c>
      <c r="D1" s="15" t="s">
        <v>0</v>
      </c>
    </row>
    <row r="2" spans="1:4">
      <c r="A2" s="2"/>
      <c r="B2" s="2"/>
      <c r="C2" s="2"/>
      <c r="D2" s="2"/>
    </row>
    <row r="3" spans="1:4">
      <c r="A3" s="3" t="s">
        <v>1</v>
      </c>
      <c r="B3" s="4" t="s">
        <v>2</v>
      </c>
      <c r="C3" s="2"/>
      <c r="D3" s="2"/>
    </row>
    <row r="4" spans="1:4">
      <c r="A4" s="3" t="s">
        <v>3</v>
      </c>
      <c r="B4" s="4" t="s">
        <v>4</v>
      </c>
      <c r="C4" s="2"/>
      <c r="D4" s="2"/>
    </row>
    <row r="5" spans="1:4">
      <c r="A5" s="3" t="s">
        <v>5</v>
      </c>
      <c r="B5" s="4" t="s">
        <v>6</v>
      </c>
      <c r="C5" s="2"/>
      <c r="D5" s="2"/>
    </row>
    <row r="6" spans="1:4">
      <c r="A6" s="3" t="s">
        <v>7</v>
      </c>
      <c r="B6" s="4" t="s">
        <v>8</v>
      </c>
      <c r="C6" s="2"/>
      <c r="D6" s="2"/>
    </row>
    <row r="7" spans="1:4">
      <c r="A7" s="3" t="s">
        <v>9</v>
      </c>
      <c r="B7" s="4">
        <v>46</v>
      </c>
      <c r="C7" s="2"/>
      <c r="D7" s="2"/>
    </row>
    <row r="8" spans="1:4">
      <c r="A8" s="3" t="s">
        <v>10</v>
      </c>
      <c r="B8" s="4">
        <v>9</v>
      </c>
      <c r="C8" s="2"/>
      <c r="D8" s="2"/>
    </row>
    <row r="9" spans="1:4">
      <c r="A9" s="2"/>
      <c r="B9" s="2"/>
      <c r="C9" s="2"/>
      <c r="D9" s="2"/>
    </row>
    <row r="10" spans="1:4" ht="19.2" customHeight="1">
      <c r="A10" s="5" t="s">
        <v>11</v>
      </c>
      <c r="B10" s="5"/>
      <c r="C10" s="5"/>
      <c r="D10" s="5"/>
    </row>
    <row r="11" spans="1:4">
      <c r="A11" s="6" t="s">
        <v>12</v>
      </c>
      <c r="B11" s="7" t="s">
        <v>13</v>
      </c>
      <c r="C11" s="2"/>
      <c r="D11" s="2"/>
    </row>
    <row r="12" spans="1:4">
      <c r="A12" s="6" t="s">
        <v>14</v>
      </c>
      <c r="B12" s="7" t="s">
        <v>13</v>
      </c>
      <c r="C12" s="2"/>
      <c r="D12" s="2"/>
    </row>
    <row r="13" spans="1:4" ht="27.6">
      <c r="A13" s="6" t="s">
        <v>15</v>
      </c>
      <c r="B13" s="7" t="s">
        <v>13</v>
      </c>
      <c r="C13" s="2"/>
      <c r="D13" s="2"/>
    </row>
    <row r="14" spans="1:4">
      <c r="A14" s="6" t="s">
        <v>16</v>
      </c>
      <c r="B14" s="7" t="s">
        <v>13</v>
      </c>
      <c r="C14" s="2"/>
      <c r="D14" s="2"/>
    </row>
    <row r="15" spans="1:4">
      <c r="A15" s="6" t="s">
        <v>17</v>
      </c>
      <c r="B15" s="7" t="s">
        <v>13</v>
      </c>
      <c r="C15" s="2"/>
      <c r="D15" s="2"/>
    </row>
    <row r="16" spans="1:4">
      <c r="A16" s="6"/>
      <c r="B16" s="7"/>
      <c r="C16" s="2"/>
      <c r="D16" s="2"/>
    </row>
    <row r="17" spans="1:4">
      <c r="A17" s="6" t="s">
        <v>18</v>
      </c>
      <c r="B17" s="7" t="s">
        <v>19</v>
      </c>
      <c r="C17" s="2"/>
      <c r="D17" s="2"/>
    </row>
    <row r="18" spans="1:4">
      <c r="A18" s="6" t="s">
        <v>20</v>
      </c>
      <c r="B18" s="7" t="s">
        <v>21</v>
      </c>
      <c r="C18" s="2"/>
      <c r="D18" s="2"/>
    </row>
    <row r="19" spans="1:4">
      <c r="A19" s="6" t="s">
        <v>22</v>
      </c>
      <c r="B19" s="7" t="s">
        <v>271</v>
      </c>
      <c r="C19" s="2"/>
      <c r="D19" s="2"/>
    </row>
    <row r="20" spans="1:4" ht="27.6">
      <c r="A20" s="6" t="s">
        <v>23</v>
      </c>
      <c r="B20" s="7" t="s">
        <v>13</v>
      </c>
      <c r="C20" s="2"/>
      <c r="D20" s="2"/>
    </row>
    <row r="21" spans="1:4">
      <c r="A21" s="2"/>
      <c r="B21" s="2"/>
      <c r="C21" s="2"/>
      <c r="D21" s="2"/>
    </row>
    <row r="22" spans="1:4">
      <c r="A22" s="1" t="s">
        <v>24</v>
      </c>
      <c r="B22" s="8" t="str">
        <f>'QA Summary'!B14</f>
        <v>PASS</v>
      </c>
      <c r="C22" s="2"/>
      <c r="D22" s="2"/>
    </row>
    <row r="23" spans="1:4">
      <c r="A23" s="2"/>
      <c r="B23" s="2"/>
      <c r="C23" s="2"/>
      <c r="D23" s="2"/>
    </row>
    <row r="24" spans="1:4">
      <c r="A24" s="16" t="s">
        <v>25</v>
      </c>
      <c r="B24" s="16"/>
      <c r="C24" s="16"/>
      <c r="D24" s="16"/>
    </row>
    <row r="25" spans="1:4">
      <c r="A25" s="16"/>
      <c r="B25" s="16"/>
      <c r="C25" s="16"/>
      <c r="D25" s="16"/>
    </row>
  </sheetData>
  <mergeCells count="2">
    <mergeCell ref="A1:D1"/>
    <mergeCell ref="A24:D25"/>
  </mergeCells>
  <phoneticPr fontId="9" type="noConversion"/>
  <dataValidations count="1">
    <dataValidation type="list" sqref="B11:B15 B20" xr:uid="{00000000-0002-0000-0000-000000000000}">
      <formula1>"Yes,No"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0"/>
  <sheetViews>
    <sheetView topLeftCell="F1" workbookViewId="0">
      <selection sqref="A1:K1"/>
    </sheetView>
  </sheetViews>
  <sheetFormatPr defaultRowHeight="13.8"/>
  <cols>
    <col min="1" max="1" width="23" customWidth="1"/>
    <col min="2" max="2" width="15" customWidth="1"/>
    <col min="3" max="4" width="13" customWidth="1"/>
    <col min="5" max="5" width="34" customWidth="1"/>
    <col min="6" max="6" width="58" customWidth="1"/>
    <col min="7" max="7" width="16" customWidth="1"/>
    <col min="8" max="8" width="48" customWidth="1"/>
    <col min="9" max="9" width="15" customWidth="1"/>
    <col min="10" max="10" width="27" customWidth="1"/>
    <col min="11" max="11" width="11" customWidth="1"/>
  </cols>
  <sheetData>
    <row r="1" spans="1:11" ht="22.35" customHeight="1">
      <c r="A1" s="15" t="s">
        <v>26</v>
      </c>
      <c r="B1" s="15" t="s">
        <v>26</v>
      </c>
      <c r="C1" s="15" t="s">
        <v>26</v>
      </c>
      <c r="D1" s="15" t="s">
        <v>26</v>
      </c>
      <c r="E1" s="15" t="s">
        <v>26</v>
      </c>
      <c r="F1" s="15" t="s">
        <v>26</v>
      </c>
      <c r="G1" s="15" t="s">
        <v>26</v>
      </c>
      <c r="H1" s="15" t="s">
        <v>26</v>
      </c>
      <c r="I1" s="15" t="s">
        <v>26</v>
      </c>
      <c r="J1" s="15" t="s">
        <v>26</v>
      </c>
      <c r="K1" s="15" t="s">
        <v>26</v>
      </c>
    </row>
    <row r="2" spans="1:11">
      <c r="A2" s="17" t="s">
        <v>27</v>
      </c>
      <c r="B2" s="17"/>
      <c r="C2" s="17"/>
      <c r="D2" s="17"/>
      <c r="E2" s="17"/>
      <c r="F2" s="17"/>
      <c r="G2" s="17"/>
      <c r="H2" s="17"/>
      <c r="I2" s="17"/>
      <c r="J2" s="17"/>
      <c r="K2" s="17"/>
    </row>
    <row r="3" spans="1:11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ht="19.2" customHeight="1">
      <c r="A4" s="1" t="s">
        <v>1</v>
      </c>
      <c r="B4" s="1" t="s">
        <v>28</v>
      </c>
      <c r="C4" s="1" t="s">
        <v>29</v>
      </c>
      <c r="D4" s="1" t="s">
        <v>3</v>
      </c>
      <c r="E4" s="1" t="s">
        <v>30</v>
      </c>
      <c r="F4" s="1" t="s">
        <v>31</v>
      </c>
      <c r="G4" s="1" t="s">
        <v>32</v>
      </c>
      <c r="H4" s="1" t="s">
        <v>33</v>
      </c>
      <c r="I4" s="1" t="s">
        <v>34</v>
      </c>
      <c r="J4" s="1" t="s">
        <v>35</v>
      </c>
      <c r="K4" s="1" t="s">
        <v>36</v>
      </c>
    </row>
    <row r="5" spans="1:11" ht="27.6">
      <c r="A5" s="9" t="s">
        <v>2</v>
      </c>
      <c r="B5" s="9" t="s">
        <v>37</v>
      </c>
      <c r="C5" s="9" t="s">
        <v>38</v>
      </c>
      <c r="D5" s="9" t="s">
        <v>4</v>
      </c>
      <c r="E5" s="10" t="s">
        <v>39</v>
      </c>
      <c r="F5" s="10" t="s">
        <v>40</v>
      </c>
      <c r="G5" s="7" t="s">
        <v>41</v>
      </c>
      <c r="H5" s="7" t="s">
        <v>42</v>
      </c>
      <c r="I5" s="7">
        <v>3</v>
      </c>
      <c r="J5" s="11" t="s">
        <v>43</v>
      </c>
      <c r="K5" s="8" t="str">
        <f t="shared" ref="K5:K50" si="0">IF(AND(OR(G5="supported",G5="unsupported"),LEN(TRIM(H5))&gt;=12,AND(ISNUMBER(I5),I5&gt;=1,I5&lt;=3),LEN(J5)&gt;=20,ISNUMBER(SEARCH("T",J5))),"PASS","CHECK")</f>
        <v>PASS</v>
      </c>
    </row>
    <row r="6" spans="1:11" ht="27.6">
      <c r="A6" s="9" t="s">
        <v>2</v>
      </c>
      <c r="B6" s="9" t="s">
        <v>44</v>
      </c>
      <c r="C6" s="9" t="s">
        <v>38</v>
      </c>
      <c r="D6" s="9" t="s">
        <v>4</v>
      </c>
      <c r="E6" s="10" t="s">
        <v>39</v>
      </c>
      <c r="F6" s="10" t="s">
        <v>45</v>
      </c>
      <c r="G6" s="7" t="s">
        <v>41</v>
      </c>
      <c r="H6" s="7" t="s">
        <v>46</v>
      </c>
      <c r="I6" s="7">
        <v>3</v>
      </c>
      <c r="J6" s="11" t="s">
        <v>47</v>
      </c>
      <c r="K6" s="8" t="str">
        <f t="shared" si="0"/>
        <v>PASS</v>
      </c>
    </row>
    <row r="7" spans="1:11">
      <c r="A7" s="9" t="s">
        <v>2</v>
      </c>
      <c r="B7" s="9" t="s">
        <v>48</v>
      </c>
      <c r="C7" s="9" t="s">
        <v>38</v>
      </c>
      <c r="D7" s="9" t="s">
        <v>4</v>
      </c>
      <c r="E7" s="10" t="s">
        <v>39</v>
      </c>
      <c r="F7" s="10" t="s">
        <v>49</v>
      </c>
      <c r="G7" s="7" t="s">
        <v>41</v>
      </c>
      <c r="H7" s="7" t="s">
        <v>50</v>
      </c>
      <c r="I7" s="7">
        <v>3</v>
      </c>
      <c r="J7" s="11" t="s">
        <v>51</v>
      </c>
      <c r="K7" s="8" t="str">
        <f t="shared" si="0"/>
        <v>PASS</v>
      </c>
    </row>
    <row r="8" spans="1:11" ht="27.6">
      <c r="A8" s="9" t="s">
        <v>2</v>
      </c>
      <c r="B8" s="9" t="s">
        <v>52</v>
      </c>
      <c r="C8" s="9" t="s">
        <v>38</v>
      </c>
      <c r="D8" s="9" t="s">
        <v>4</v>
      </c>
      <c r="E8" s="10" t="s">
        <v>39</v>
      </c>
      <c r="F8" s="10" t="s">
        <v>53</v>
      </c>
      <c r="G8" s="7" t="s">
        <v>41</v>
      </c>
      <c r="H8" s="7" t="s">
        <v>54</v>
      </c>
      <c r="I8" s="7">
        <v>3</v>
      </c>
      <c r="J8" s="11" t="s">
        <v>55</v>
      </c>
      <c r="K8" s="8" t="str">
        <f t="shared" si="0"/>
        <v>PASS</v>
      </c>
    </row>
    <row r="9" spans="1:11">
      <c r="A9" s="9" t="s">
        <v>2</v>
      </c>
      <c r="B9" s="9" t="s">
        <v>56</v>
      </c>
      <c r="C9" s="9" t="s">
        <v>38</v>
      </c>
      <c r="D9" s="9" t="s">
        <v>4</v>
      </c>
      <c r="E9" s="10" t="s">
        <v>39</v>
      </c>
      <c r="F9" s="10" t="s">
        <v>57</v>
      </c>
      <c r="G9" s="7" t="s">
        <v>41</v>
      </c>
      <c r="H9" s="7" t="s">
        <v>58</v>
      </c>
      <c r="I9" s="7">
        <v>3</v>
      </c>
      <c r="J9" s="11" t="s">
        <v>59</v>
      </c>
      <c r="K9" s="8" t="str">
        <f t="shared" si="0"/>
        <v>PASS</v>
      </c>
    </row>
    <row r="10" spans="1:11">
      <c r="A10" s="9" t="s">
        <v>2</v>
      </c>
      <c r="B10" s="9" t="s">
        <v>60</v>
      </c>
      <c r="C10" s="9" t="s">
        <v>38</v>
      </c>
      <c r="D10" s="9" t="s">
        <v>4</v>
      </c>
      <c r="E10" s="10" t="s">
        <v>39</v>
      </c>
      <c r="F10" s="10" t="s">
        <v>61</v>
      </c>
      <c r="G10" s="7" t="s">
        <v>41</v>
      </c>
      <c r="H10" s="7" t="s">
        <v>62</v>
      </c>
      <c r="I10" s="7">
        <v>3</v>
      </c>
      <c r="J10" s="11" t="s">
        <v>63</v>
      </c>
      <c r="K10" s="8" t="str">
        <f t="shared" si="0"/>
        <v>PASS</v>
      </c>
    </row>
    <row r="11" spans="1:11">
      <c r="A11" s="9" t="s">
        <v>2</v>
      </c>
      <c r="B11" s="9" t="s">
        <v>64</v>
      </c>
      <c r="C11" s="9" t="s">
        <v>65</v>
      </c>
      <c r="D11" s="9" t="s">
        <v>4</v>
      </c>
      <c r="E11" s="10" t="s">
        <v>66</v>
      </c>
      <c r="F11" s="10" t="s">
        <v>67</v>
      </c>
      <c r="G11" s="7" t="s">
        <v>41</v>
      </c>
      <c r="H11" s="7" t="s">
        <v>68</v>
      </c>
      <c r="I11" s="7">
        <v>3</v>
      </c>
      <c r="J11" s="11" t="s">
        <v>69</v>
      </c>
      <c r="K11" s="8" t="str">
        <f t="shared" si="0"/>
        <v>PASS</v>
      </c>
    </row>
    <row r="12" spans="1:11" ht="27.6">
      <c r="A12" s="9" t="s">
        <v>2</v>
      </c>
      <c r="B12" s="9" t="s">
        <v>70</v>
      </c>
      <c r="C12" s="9" t="s">
        <v>65</v>
      </c>
      <c r="D12" s="9" t="s">
        <v>4</v>
      </c>
      <c r="E12" s="10" t="s">
        <v>66</v>
      </c>
      <c r="F12" s="10" t="s">
        <v>71</v>
      </c>
      <c r="G12" s="7" t="s">
        <v>41</v>
      </c>
      <c r="H12" s="7" t="s">
        <v>72</v>
      </c>
      <c r="I12" s="7">
        <v>3</v>
      </c>
      <c r="J12" s="11" t="s">
        <v>73</v>
      </c>
      <c r="K12" s="8" t="str">
        <f t="shared" si="0"/>
        <v>PASS</v>
      </c>
    </row>
    <row r="13" spans="1:11">
      <c r="A13" s="9" t="s">
        <v>2</v>
      </c>
      <c r="B13" s="9" t="s">
        <v>74</v>
      </c>
      <c r="C13" s="9" t="s">
        <v>65</v>
      </c>
      <c r="D13" s="9" t="s">
        <v>4</v>
      </c>
      <c r="E13" s="10" t="s">
        <v>66</v>
      </c>
      <c r="F13" s="10" t="s">
        <v>75</v>
      </c>
      <c r="G13" s="7" t="s">
        <v>41</v>
      </c>
      <c r="H13" s="7" t="s">
        <v>76</v>
      </c>
      <c r="I13" s="7">
        <v>3</v>
      </c>
      <c r="J13" s="11" t="s">
        <v>77</v>
      </c>
      <c r="K13" s="8" t="str">
        <f t="shared" si="0"/>
        <v>PASS</v>
      </c>
    </row>
    <row r="14" spans="1:11">
      <c r="A14" s="9" t="s">
        <v>2</v>
      </c>
      <c r="B14" s="9" t="s">
        <v>78</v>
      </c>
      <c r="C14" s="9" t="s">
        <v>65</v>
      </c>
      <c r="D14" s="9" t="s">
        <v>4</v>
      </c>
      <c r="E14" s="10" t="s">
        <v>66</v>
      </c>
      <c r="F14" s="10" t="s">
        <v>79</v>
      </c>
      <c r="G14" s="7" t="s">
        <v>41</v>
      </c>
      <c r="H14" s="7" t="s">
        <v>80</v>
      </c>
      <c r="I14" s="7">
        <v>3</v>
      </c>
      <c r="J14" s="11" t="s">
        <v>81</v>
      </c>
      <c r="K14" s="8" t="str">
        <f t="shared" si="0"/>
        <v>PASS</v>
      </c>
    </row>
    <row r="15" spans="1:11" ht="27.6">
      <c r="A15" s="9" t="s">
        <v>2</v>
      </c>
      <c r="B15" s="9" t="s">
        <v>82</v>
      </c>
      <c r="C15" s="9" t="s">
        <v>65</v>
      </c>
      <c r="D15" s="9" t="s">
        <v>4</v>
      </c>
      <c r="E15" s="10" t="s">
        <v>66</v>
      </c>
      <c r="F15" s="10" t="s">
        <v>83</v>
      </c>
      <c r="G15" s="7" t="s">
        <v>41</v>
      </c>
      <c r="H15" s="7" t="s">
        <v>84</v>
      </c>
      <c r="I15" s="7">
        <v>3</v>
      </c>
      <c r="J15" s="11" t="s">
        <v>85</v>
      </c>
      <c r="K15" s="8" t="str">
        <f t="shared" si="0"/>
        <v>PASS</v>
      </c>
    </row>
    <row r="16" spans="1:11" ht="27.6">
      <c r="A16" s="9" t="s">
        <v>2</v>
      </c>
      <c r="B16" s="9" t="s">
        <v>86</v>
      </c>
      <c r="C16" s="9" t="s">
        <v>65</v>
      </c>
      <c r="D16" s="9" t="s">
        <v>4</v>
      </c>
      <c r="E16" s="10" t="s">
        <v>66</v>
      </c>
      <c r="F16" s="10" t="s">
        <v>87</v>
      </c>
      <c r="G16" s="7" t="s">
        <v>41</v>
      </c>
      <c r="H16" s="7" t="s">
        <v>88</v>
      </c>
      <c r="I16" s="7">
        <v>3</v>
      </c>
      <c r="J16" s="11" t="s">
        <v>89</v>
      </c>
      <c r="K16" s="8" t="str">
        <f t="shared" si="0"/>
        <v>PASS</v>
      </c>
    </row>
    <row r="17" spans="1:11" ht="27.6">
      <c r="A17" s="9" t="s">
        <v>2</v>
      </c>
      <c r="B17" s="9" t="s">
        <v>90</v>
      </c>
      <c r="C17" s="9" t="s">
        <v>91</v>
      </c>
      <c r="D17" s="9" t="s">
        <v>4</v>
      </c>
      <c r="E17" s="10" t="s">
        <v>92</v>
      </c>
      <c r="F17" s="10" t="s">
        <v>93</v>
      </c>
      <c r="G17" s="7" t="s">
        <v>41</v>
      </c>
      <c r="H17" s="7" t="s">
        <v>94</v>
      </c>
      <c r="I17" s="7">
        <v>3</v>
      </c>
      <c r="J17" s="11" t="s">
        <v>95</v>
      </c>
      <c r="K17" s="8" t="str">
        <f t="shared" si="0"/>
        <v>PASS</v>
      </c>
    </row>
    <row r="18" spans="1:11" ht="27.6">
      <c r="A18" s="9" t="s">
        <v>2</v>
      </c>
      <c r="B18" s="9" t="s">
        <v>96</v>
      </c>
      <c r="C18" s="9" t="s">
        <v>91</v>
      </c>
      <c r="D18" s="9" t="s">
        <v>4</v>
      </c>
      <c r="E18" s="10" t="s">
        <v>92</v>
      </c>
      <c r="F18" s="10" t="s">
        <v>97</v>
      </c>
      <c r="G18" s="7" t="s">
        <v>41</v>
      </c>
      <c r="H18" s="7" t="s">
        <v>98</v>
      </c>
      <c r="I18" s="7">
        <v>3</v>
      </c>
      <c r="J18" s="11" t="s">
        <v>99</v>
      </c>
      <c r="K18" s="8" t="str">
        <f t="shared" si="0"/>
        <v>PASS</v>
      </c>
    </row>
    <row r="19" spans="1:11" ht="27.6">
      <c r="A19" s="9" t="s">
        <v>2</v>
      </c>
      <c r="B19" s="9" t="s">
        <v>100</v>
      </c>
      <c r="C19" s="9" t="s">
        <v>91</v>
      </c>
      <c r="D19" s="9" t="s">
        <v>4</v>
      </c>
      <c r="E19" s="10" t="s">
        <v>92</v>
      </c>
      <c r="F19" s="10" t="s">
        <v>101</v>
      </c>
      <c r="G19" s="7" t="s">
        <v>41</v>
      </c>
      <c r="H19" s="7" t="s">
        <v>102</v>
      </c>
      <c r="I19" s="7">
        <v>3</v>
      </c>
      <c r="J19" s="11" t="s">
        <v>103</v>
      </c>
      <c r="K19" s="8" t="str">
        <f t="shared" si="0"/>
        <v>PASS</v>
      </c>
    </row>
    <row r="20" spans="1:11" ht="27.6">
      <c r="A20" s="9" t="s">
        <v>2</v>
      </c>
      <c r="B20" s="9" t="s">
        <v>104</v>
      </c>
      <c r="C20" s="9" t="s">
        <v>91</v>
      </c>
      <c r="D20" s="9" t="s">
        <v>4</v>
      </c>
      <c r="E20" s="10" t="s">
        <v>92</v>
      </c>
      <c r="F20" s="10" t="s">
        <v>105</v>
      </c>
      <c r="G20" s="7" t="s">
        <v>41</v>
      </c>
      <c r="H20" s="7" t="s">
        <v>106</v>
      </c>
      <c r="I20" s="7">
        <v>3</v>
      </c>
      <c r="J20" s="11" t="s">
        <v>107</v>
      </c>
      <c r="K20" s="8" t="str">
        <f t="shared" si="0"/>
        <v>PASS</v>
      </c>
    </row>
    <row r="21" spans="1:11">
      <c r="A21" s="9" t="s">
        <v>2</v>
      </c>
      <c r="B21" s="9" t="s">
        <v>108</v>
      </c>
      <c r="C21" s="9" t="s">
        <v>109</v>
      </c>
      <c r="D21" s="9" t="s">
        <v>4</v>
      </c>
      <c r="E21" s="10" t="s">
        <v>110</v>
      </c>
      <c r="F21" s="10" t="s">
        <v>67</v>
      </c>
      <c r="G21" s="7" t="s">
        <v>41</v>
      </c>
      <c r="H21" s="7" t="s">
        <v>111</v>
      </c>
      <c r="I21" s="7">
        <v>3</v>
      </c>
      <c r="J21" s="11" t="s">
        <v>112</v>
      </c>
      <c r="K21" s="8" t="str">
        <f t="shared" si="0"/>
        <v>PASS</v>
      </c>
    </row>
    <row r="22" spans="1:11">
      <c r="A22" s="9" t="s">
        <v>2</v>
      </c>
      <c r="B22" s="9" t="s">
        <v>113</v>
      </c>
      <c r="C22" s="9" t="s">
        <v>109</v>
      </c>
      <c r="D22" s="9" t="s">
        <v>4</v>
      </c>
      <c r="E22" s="10" t="s">
        <v>110</v>
      </c>
      <c r="F22" s="10" t="s">
        <v>71</v>
      </c>
      <c r="G22" s="7" t="s">
        <v>41</v>
      </c>
      <c r="H22" s="7" t="s">
        <v>114</v>
      </c>
      <c r="I22" s="7">
        <v>3</v>
      </c>
      <c r="J22" s="11" t="s">
        <v>115</v>
      </c>
      <c r="K22" s="8" t="str">
        <f t="shared" si="0"/>
        <v>PASS</v>
      </c>
    </row>
    <row r="23" spans="1:11">
      <c r="A23" s="9" t="s">
        <v>2</v>
      </c>
      <c r="B23" s="9" t="s">
        <v>116</v>
      </c>
      <c r="C23" s="9" t="s">
        <v>109</v>
      </c>
      <c r="D23" s="9" t="s">
        <v>4</v>
      </c>
      <c r="E23" s="10" t="s">
        <v>110</v>
      </c>
      <c r="F23" s="10" t="s">
        <v>75</v>
      </c>
      <c r="G23" s="7" t="s">
        <v>41</v>
      </c>
      <c r="H23" s="7" t="s">
        <v>117</v>
      </c>
      <c r="I23" s="7">
        <v>3</v>
      </c>
      <c r="J23" s="11" t="s">
        <v>118</v>
      </c>
      <c r="K23" s="8" t="str">
        <f t="shared" si="0"/>
        <v>PASS</v>
      </c>
    </row>
    <row r="24" spans="1:11" ht="27.6">
      <c r="A24" s="9" t="s">
        <v>2</v>
      </c>
      <c r="B24" s="9" t="s">
        <v>119</v>
      </c>
      <c r="C24" s="9" t="s">
        <v>109</v>
      </c>
      <c r="D24" s="9" t="s">
        <v>4</v>
      </c>
      <c r="E24" s="10" t="s">
        <v>110</v>
      </c>
      <c r="F24" s="10" t="s">
        <v>79</v>
      </c>
      <c r="G24" s="7" t="s">
        <v>41</v>
      </c>
      <c r="H24" s="7" t="s">
        <v>120</v>
      </c>
      <c r="I24" s="7">
        <v>3</v>
      </c>
      <c r="J24" s="11" t="s">
        <v>121</v>
      </c>
      <c r="K24" s="8" t="str">
        <f t="shared" si="0"/>
        <v>PASS</v>
      </c>
    </row>
    <row r="25" spans="1:11" ht="27.6">
      <c r="A25" s="9" t="s">
        <v>2</v>
      </c>
      <c r="B25" s="9" t="s">
        <v>122</v>
      </c>
      <c r="C25" s="9" t="s">
        <v>109</v>
      </c>
      <c r="D25" s="9" t="s">
        <v>4</v>
      </c>
      <c r="E25" s="10" t="s">
        <v>110</v>
      </c>
      <c r="F25" s="10" t="s">
        <v>83</v>
      </c>
      <c r="G25" s="7" t="s">
        <v>41</v>
      </c>
      <c r="H25" s="7" t="s">
        <v>123</v>
      </c>
      <c r="I25" s="7">
        <v>3</v>
      </c>
      <c r="J25" s="11" t="s">
        <v>124</v>
      </c>
      <c r="K25" s="8" t="str">
        <f t="shared" si="0"/>
        <v>PASS</v>
      </c>
    </row>
    <row r="26" spans="1:11" ht="27.6">
      <c r="A26" s="9" t="s">
        <v>2</v>
      </c>
      <c r="B26" s="9" t="s">
        <v>125</v>
      </c>
      <c r="C26" s="9" t="s">
        <v>109</v>
      </c>
      <c r="D26" s="9" t="s">
        <v>4</v>
      </c>
      <c r="E26" s="10" t="s">
        <v>110</v>
      </c>
      <c r="F26" s="10" t="s">
        <v>87</v>
      </c>
      <c r="G26" s="7" t="s">
        <v>41</v>
      </c>
      <c r="H26" s="7" t="s">
        <v>126</v>
      </c>
      <c r="I26" s="7">
        <v>3</v>
      </c>
      <c r="J26" s="11" t="s">
        <v>127</v>
      </c>
      <c r="K26" s="8" t="str">
        <f t="shared" si="0"/>
        <v>PASS</v>
      </c>
    </row>
    <row r="27" spans="1:11" ht="27.6">
      <c r="A27" s="9" t="s">
        <v>2</v>
      </c>
      <c r="B27" s="9" t="s">
        <v>128</v>
      </c>
      <c r="C27" s="9" t="s">
        <v>129</v>
      </c>
      <c r="D27" s="9" t="s">
        <v>4</v>
      </c>
      <c r="E27" s="10" t="s">
        <v>130</v>
      </c>
      <c r="F27" s="10" t="s">
        <v>40</v>
      </c>
      <c r="G27" s="7" t="s">
        <v>41</v>
      </c>
      <c r="H27" s="7" t="s">
        <v>131</v>
      </c>
      <c r="I27" s="7">
        <v>3</v>
      </c>
      <c r="J27" s="11" t="s">
        <v>132</v>
      </c>
      <c r="K27" s="8" t="str">
        <f t="shared" si="0"/>
        <v>PASS</v>
      </c>
    </row>
    <row r="28" spans="1:11" ht="27.6">
      <c r="A28" s="9" t="s">
        <v>2</v>
      </c>
      <c r="B28" s="9" t="s">
        <v>133</v>
      </c>
      <c r="C28" s="9" t="s">
        <v>129</v>
      </c>
      <c r="D28" s="9" t="s">
        <v>4</v>
      </c>
      <c r="E28" s="10" t="s">
        <v>130</v>
      </c>
      <c r="F28" s="10" t="s">
        <v>45</v>
      </c>
      <c r="G28" s="7" t="s">
        <v>41</v>
      </c>
      <c r="H28" s="7" t="s">
        <v>134</v>
      </c>
      <c r="I28" s="7">
        <v>3</v>
      </c>
      <c r="J28" s="11" t="s">
        <v>135</v>
      </c>
      <c r="K28" s="8" t="str">
        <f t="shared" si="0"/>
        <v>PASS</v>
      </c>
    </row>
    <row r="29" spans="1:11" ht="27.6">
      <c r="A29" s="9" t="s">
        <v>2</v>
      </c>
      <c r="B29" s="9" t="s">
        <v>136</v>
      </c>
      <c r="C29" s="9" t="s">
        <v>129</v>
      </c>
      <c r="D29" s="9" t="s">
        <v>4</v>
      </c>
      <c r="E29" s="10" t="s">
        <v>130</v>
      </c>
      <c r="F29" s="10" t="s">
        <v>49</v>
      </c>
      <c r="G29" s="7" t="s">
        <v>41</v>
      </c>
      <c r="H29" s="7" t="s">
        <v>137</v>
      </c>
      <c r="I29" s="7">
        <v>3</v>
      </c>
      <c r="J29" s="11" t="s">
        <v>138</v>
      </c>
      <c r="K29" s="8" t="str">
        <f t="shared" si="0"/>
        <v>PASS</v>
      </c>
    </row>
    <row r="30" spans="1:11">
      <c r="A30" s="9" t="s">
        <v>2</v>
      </c>
      <c r="B30" s="9" t="s">
        <v>139</v>
      </c>
      <c r="C30" s="9" t="s">
        <v>129</v>
      </c>
      <c r="D30" s="9" t="s">
        <v>4</v>
      </c>
      <c r="E30" s="10" t="s">
        <v>130</v>
      </c>
      <c r="F30" s="10" t="s">
        <v>53</v>
      </c>
      <c r="G30" s="7" t="s">
        <v>41</v>
      </c>
      <c r="H30" s="7" t="s">
        <v>140</v>
      </c>
      <c r="I30" s="7">
        <v>3</v>
      </c>
      <c r="J30" s="11" t="s">
        <v>141</v>
      </c>
      <c r="K30" s="8" t="str">
        <f t="shared" si="0"/>
        <v>PASS</v>
      </c>
    </row>
    <row r="31" spans="1:11">
      <c r="A31" s="9" t="s">
        <v>2</v>
      </c>
      <c r="B31" s="9" t="s">
        <v>142</v>
      </c>
      <c r="C31" s="9" t="s">
        <v>129</v>
      </c>
      <c r="D31" s="9" t="s">
        <v>4</v>
      </c>
      <c r="E31" s="10" t="s">
        <v>130</v>
      </c>
      <c r="F31" s="10" t="s">
        <v>57</v>
      </c>
      <c r="G31" s="7" t="s">
        <v>41</v>
      </c>
      <c r="H31" s="7" t="s">
        <v>143</v>
      </c>
      <c r="I31" s="7">
        <v>3</v>
      </c>
      <c r="J31" s="11" t="s">
        <v>144</v>
      </c>
      <c r="K31" s="8" t="str">
        <f t="shared" si="0"/>
        <v>PASS</v>
      </c>
    </row>
    <row r="32" spans="1:11">
      <c r="A32" s="9" t="s">
        <v>2</v>
      </c>
      <c r="B32" s="9" t="s">
        <v>145</v>
      </c>
      <c r="C32" s="9" t="s">
        <v>129</v>
      </c>
      <c r="D32" s="9" t="s">
        <v>4</v>
      </c>
      <c r="E32" s="10" t="s">
        <v>130</v>
      </c>
      <c r="F32" s="10" t="s">
        <v>61</v>
      </c>
      <c r="G32" s="7" t="s">
        <v>41</v>
      </c>
      <c r="H32" s="7" t="s">
        <v>146</v>
      </c>
      <c r="I32" s="7">
        <v>3</v>
      </c>
      <c r="J32" s="11" t="s">
        <v>147</v>
      </c>
      <c r="K32" s="8" t="str">
        <f t="shared" si="0"/>
        <v>PASS</v>
      </c>
    </row>
    <row r="33" spans="1:11" ht="27.6">
      <c r="A33" s="9" t="s">
        <v>2</v>
      </c>
      <c r="B33" s="9" t="s">
        <v>148</v>
      </c>
      <c r="C33" s="9" t="s">
        <v>149</v>
      </c>
      <c r="D33" s="9" t="s">
        <v>4</v>
      </c>
      <c r="E33" s="10" t="s">
        <v>150</v>
      </c>
      <c r="F33" s="10" t="s">
        <v>93</v>
      </c>
      <c r="G33" s="7" t="s">
        <v>41</v>
      </c>
      <c r="H33" s="7" t="s">
        <v>151</v>
      </c>
      <c r="I33" s="7">
        <v>3</v>
      </c>
      <c r="J33" s="11" t="s">
        <v>152</v>
      </c>
      <c r="K33" s="8" t="str">
        <f t="shared" si="0"/>
        <v>PASS</v>
      </c>
    </row>
    <row r="34" spans="1:11" ht="27.6">
      <c r="A34" s="9" t="s">
        <v>2</v>
      </c>
      <c r="B34" s="9" t="s">
        <v>153</v>
      </c>
      <c r="C34" s="9" t="s">
        <v>149</v>
      </c>
      <c r="D34" s="9" t="s">
        <v>4</v>
      </c>
      <c r="E34" s="10" t="s">
        <v>150</v>
      </c>
      <c r="F34" s="10" t="s">
        <v>97</v>
      </c>
      <c r="G34" s="7" t="s">
        <v>41</v>
      </c>
      <c r="H34" s="7" t="s">
        <v>154</v>
      </c>
      <c r="I34" s="7">
        <v>3</v>
      </c>
      <c r="J34" s="11" t="s">
        <v>155</v>
      </c>
      <c r="K34" s="8" t="str">
        <f t="shared" si="0"/>
        <v>PASS</v>
      </c>
    </row>
    <row r="35" spans="1:11" ht="27.6">
      <c r="A35" s="9" t="s">
        <v>2</v>
      </c>
      <c r="B35" s="9" t="s">
        <v>156</v>
      </c>
      <c r="C35" s="9" t="s">
        <v>149</v>
      </c>
      <c r="D35" s="9" t="s">
        <v>4</v>
      </c>
      <c r="E35" s="10" t="s">
        <v>150</v>
      </c>
      <c r="F35" s="10" t="s">
        <v>101</v>
      </c>
      <c r="G35" s="7" t="s">
        <v>41</v>
      </c>
      <c r="H35" s="7" t="s">
        <v>157</v>
      </c>
      <c r="I35" s="7">
        <v>3</v>
      </c>
      <c r="J35" s="11" t="s">
        <v>158</v>
      </c>
      <c r="K35" s="8" t="str">
        <f t="shared" si="0"/>
        <v>PASS</v>
      </c>
    </row>
    <row r="36" spans="1:11" ht="27.6">
      <c r="A36" s="9" t="s">
        <v>2</v>
      </c>
      <c r="B36" s="9" t="s">
        <v>159</v>
      </c>
      <c r="C36" s="9" t="s">
        <v>149</v>
      </c>
      <c r="D36" s="9" t="s">
        <v>4</v>
      </c>
      <c r="E36" s="10" t="s">
        <v>150</v>
      </c>
      <c r="F36" s="10" t="s">
        <v>105</v>
      </c>
      <c r="G36" s="7" t="s">
        <v>41</v>
      </c>
      <c r="H36" s="7" t="s">
        <v>160</v>
      </c>
      <c r="I36" s="7">
        <v>3</v>
      </c>
      <c r="J36" s="11" t="s">
        <v>161</v>
      </c>
      <c r="K36" s="8" t="str">
        <f t="shared" si="0"/>
        <v>PASS</v>
      </c>
    </row>
    <row r="37" spans="1:11" ht="41.4">
      <c r="A37" s="9" t="s">
        <v>2</v>
      </c>
      <c r="B37" s="9" t="s">
        <v>162</v>
      </c>
      <c r="C37" s="9" t="s">
        <v>163</v>
      </c>
      <c r="D37" s="9" t="s">
        <v>4</v>
      </c>
      <c r="E37" s="10" t="s">
        <v>164</v>
      </c>
      <c r="F37" s="10" t="s">
        <v>165</v>
      </c>
      <c r="G37" s="7" t="s">
        <v>41</v>
      </c>
      <c r="H37" s="7" t="s">
        <v>166</v>
      </c>
      <c r="I37" s="7">
        <v>3</v>
      </c>
      <c r="J37" s="11" t="s">
        <v>167</v>
      </c>
      <c r="K37" s="8" t="str">
        <f t="shared" si="0"/>
        <v>PASS</v>
      </c>
    </row>
    <row r="38" spans="1:11" ht="27.6">
      <c r="A38" s="9" t="s">
        <v>2</v>
      </c>
      <c r="B38" s="9" t="s">
        <v>168</v>
      </c>
      <c r="C38" s="9" t="s">
        <v>163</v>
      </c>
      <c r="D38" s="9" t="s">
        <v>4</v>
      </c>
      <c r="E38" s="10" t="s">
        <v>164</v>
      </c>
      <c r="F38" s="10" t="s">
        <v>169</v>
      </c>
      <c r="G38" s="7" t="s">
        <v>41</v>
      </c>
      <c r="H38" s="7" t="s">
        <v>170</v>
      </c>
      <c r="I38" s="7">
        <v>3</v>
      </c>
      <c r="J38" s="11" t="s">
        <v>171</v>
      </c>
      <c r="K38" s="8" t="str">
        <f t="shared" si="0"/>
        <v>PASS</v>
      </c>
    </row>
    <row r="39" spans="1:11" ht="27.6">
      <c r="A39" s="9" t="s">
        <v>2</v>
      </c>
      <c r="B39" s="9" t="s">
        <v>172</v>
      </c>
      <c r="C39" s="9" t="s">
        <v>163</v>
      </c>
      <c r="D39" s="9" t="s">
        <v>4</v>
      </c>
      <c r="E39" s="10" t="s">
        <v>164</v>
      </c>
      <c r="F39" s="10" t="s">
        <v>173</v>
      </c>
      <c r="G39" s="7" t="s">
        <v>41</v>
      </c>
      <c r="H39" s="7" t="s">
        <v>174</v>
      </c>
      <c r="I39" s="7">
        <v>3</v>
      </c>
      <c r="J39" s="11" t="s">
        <v>175</v>
      </c>
      <c r="K39" s="8" t="str">
        <f t="shared" si="0"/>
        <v>PASS</v>
      </c>
    </row>
    <row r="40" spans="1:11" ht="27.6">
      <c r="A40" s="9" t="s">
        <v>2</v>
      </c>
      <c r="B40" s="9" t="s">
        <v>176</v>
      </c>
      <c r="C40" s="9" t="s">
        <v>177</v>
      </c>
      <c r="D40" s="9" t="s">
        <v>4</v>
      </c>
      <c r="E40" s="10" t="s">
        <v>178</v>
      </c>
      <c r="F40" s="10" t="s">
        <v>179</v>
      </c>
      <c r="G40" s="7" t="s">
        <v>41</v>
      </c>
      <c r="H40" s="7" t="s">
        <v>180</v>
      </c>
      <c r="I40" s="7">
        <v>3</v>
      </c>
      <c r="J40" s="11" t="s">
        <v>181</v>
      </c>
      <c r="K40" s="8" t="str">
        <f t="shared" si="0"/>
        <v>PASS</v>
      </c>
    </row>
    <row r="41" spans="1:11" ht="41.4">
      <c r="A41" s="9" t="s">
        <v>2</v>
      </c>
      <c r="B41" s="9" t="s">
        <v>182</v>
      </c>
      <c r="C41" s="9" t="s">
        <v>177</v>
      </c>
      <c r="D41" s="9" t="s">
        <v>4</v>
      </c>
      <c r="E41" s="10" t="s">
        <v>178</v>
      </c>
      <c r="F41" s="10" t="s">
        <v>183</v>
      </c>
      <c r="G41" s="7" t="s">
        <v>184</v>
      </c>
      <c r="H41" s="7" t="s">
        <v>185</v>
      </c>
      <c r="I41" s="7">
        <v>3</v>
      </c>
      <c r="J41" s="11" t="s">
        <v>186</v>
      </c>
      <c r="K41" s="8" t="str">
        <f t="shared" si="0"/>
        <v>PASS</v>
      </c>
    </row>
    <row r="42" spans="1:11" ht="27.6">
      <c r="A42" s="9" t="s">
        <v>2</v>
      </c>
      <c r="B42" s="9" t="s">
        <v>187</v>
      </c>
      <c r="C42" s="9" t="s">
        <v>177</v>
      </c>
      <c r="D42" s="9" t="s">
        <v>4</v>
      </c>
      <c r="E42" s="10" t="s">
        <v>178</v>
      </c>
      <c r="F42" s="10" t="s">
        <v>188</v>
      </c>
      <c r="G42" s="7" t="s">
        <v>184</v>
      </c>
      <c r="H42" s="7" t="s">
        <v>189</v>
      </c>
      <c r="I42" s="7">
        <v>3</v>
      </c>
      <c r="J42" s="11" t="s">
        <v>190</v>
      </c>
      <c r="K42" s="8" t="str">
        <f t="shared" si="0"/>
        <v>PASS</v>
      </c>
    </row>
    <row r="43" spans="1:11" ht="27.6">
      <c r="A43" s="9" t="s">
        <v>2</v>
      </c>
      <c r="B43" s="9" t="s">
        <v>191</v>
      </c>
      <c r="C43" s="9" t="s">
        <v>177</v>
      </c>
      <c r="D43" s="9" t="s">
        <v>4</v>
      </c>
      <c r="E43" s="10" t="s">
        <v>178</v>
      </c>
      <c r="F43" s="10" t="s">
        <v>192</v>
      </c>
      <c r="G43" s="7" t="s">
        <v>41</v>
      </c>
      <c r="H43" s="7" t="s">
        <v>193</v>
      </c>
      <c r="I43" s="7">
        <v>2</v>
      </c>
      <c r="J43" s="11" t="s">
        <v>194</v>
      </c>
      <c r="K43" s="8" t="str">
        <f t="shared" si="0"/>
        <v>PASS</v>
      </c>
    </row>
    <row r="44" spans="1:11" ht="27.6">
      <c r="A44" s="9" t="s">
        <v>2</v>
      </c>
      <c r="B44" s="9" t="s">
        <v>195</v>
      </c>
      <c r="C44" s="9" t="s">
        <v>177</v>
      </c>
      <c r="D44" s="9" t="s">
        <v>4</v>
      </c>
      <c r="E44" s="10" t="s">
        <v>178</v>
      </c>
      <c r="F44" s="10" t="s">
        <v>196</v>
      </c>
      <c r="G44" s="7" t="s">
        <v>41</v>
      </c>
      <c r="H44" s="7" t="s">
        <v>197</v>
      </c>
      <c r="I44" s="7">
        <v>2</v>
      </c>
      <c r="J44" s="11" t="s">
        <v>198</v>
      </c>
      <c r="K44" s="8" t="str">
        <f t="shared" si="0"/>
        <v>PASS</v>
      </c>
    </row>
    <row r="45" spans="1:11" ht="27.6">
      <c r="A45" s="9" t="s">
        <v>2</v>
      </c>
      <c r="B45" s="9" t="s">
        <v>199</v>
      </c>
      <c r="C45" s="9" t="s">
        <v>177</v>
      </c>
      <c r="D45" s="9" t="s">
        <v>4</v>
      </c>
      <c r="E45" s="10" t="s">
        <v>178</v>
      </c>
      <c r="F45" s="10" t="s">
        <v>200</v>
      </c>
      <c r="G45" s="7" t="s">
        <v>184</v>
      </c>
      <c r="H45" s="7" t="s">
        <v>201</v>
      </c>
      <c r="I45" s="7">
        <v>3</v>
      </c>
      <c r="J45" s="11" t="s">
        <v>202</v>
      </c>
      <c r="K45" s="8" t="str">
        <f t="shared" si="0"/>
        <v>PASS</v>
      </c>
    </row>
    <row r="46" spans="1:11" ht="27.6">
      <c r="A46" s="9" t="s">
        <v>2</v>
      </c>
      <c r="B46" s="9" t="s">
        <v>203</v>
      </c>
      <c r="C46" s="9" t="s">
        <v>177</v>
      </c>
      <c r="D46" s="9" t="s">
        <v>4</v>
      </c>
      <c r="E46" s="10" t="s">
        <v>178</v>
      </c>
      <c r="F46" s="10" t="s">
        <v>204</v>
      </c>
      <c r="G46" s="7" t="s">
        <v>41</v>
      </c>
      <c r="H46" s="7" t="s">
        <v>205</v>
      </c>
      <c r="I46" s="7">
        <v>2</v>
      </c>
      <c r="J46" s="11" t="s">
        <v>206</v>
      </c>
      <c r="K46" s="8" t="str">
        <f t="shared" si="0"/>
        <v>PASS</v>
      </c>
    </row>
    <row r="47" spans="1:11" ht="27.6">
      <c r="A47" s="9" t="s">
        <v>2</v>
      </c>
      <c r="B47" s="9" t="s">
        <v>207</v>
      </c>
      <c r="C47" s="9" t="s">
        <v>177</v>
      </c>
      <c r="D47" s="9" t="s">
        <v>4</v>
      </c>
      <c r="E47" s="10" t="s">
        <v>178</v>
      </c>
      <c r="F47" s="10" t="s">
        <v>208</v>
      </c>
      <c r="G47" s="7" t="s">
        <v>41</v>
      </c>
      <c r="H47" s="7" t="s">
        <v>209</v>
      </c>
      <c r="I47" s="7">
        <v>2</v>
      </c>
      <c r="J47" s="11" t="s">
        <v>210</v>
      </c>
      <c r="K47" s="8" t="str">
        <f t="shared" si="0"/>
        <v>PASS</v>
      </c>
    </row>
    <row r="48" spans="1:11" ht="27.6">
      <c r="A48" s="9" t="s">
        <v>2</v>
      </c>
      <c r="B48" s="9" t="s">
        <v>211</v>
      </c>
      <c r="C48" s="9" t="s">
        <v>212</v>
      </c>
      <c r="D48" s="9" t="s">
        <v>4</v>
      </c>
      <c r="E48" s="10" t="s">
        <v>213</v>
      </c>
      <c r="F48" s="10" t="s">
        <v>165</v>
      </c>
      <c r="G48" s="7" t="s">
        <v>41</v>
      </c>
      <c r="H48" s="7" t="s">
        <v>214</v>
      </c>
      <c r="I48" s="7">
        <v>3</v>
      </c>
      <c r="J48" s="11" t="s">
        <v>215</v>
      </c>
      <c r="K48" s="8" t="str">
        <f t="shared" si="0"/>
        <v>PASS</v>
      </c>
    </row>
    <row r="49" spans="1:11" ht="27.6">
      <c r="A49" s="9" t="s">
        <v>2</v>
      </c>
      <c r="B49" s="9" t="s">
        <v>216</v>
      </c>
      <c r="C49" s="9" t="s">
        <v>212</v>
      </c>
      <c r="D49" s="9" t="s">
        <v>4</v>
      </c>
      <c r="E49" s="10" t="s">
        <v>213</v>
      </c>
      <c r="F49" s="10" t="s">
        <v>169</v>
      </c>
      <c r="G49" s="7" t="s">
        <v>41</v>
      </c>
      <c r="H49" s="7" t="s">
        <v>217</v>
      </c>
      <c r="I49" s="7">
        <v>3</v>
      </c>
      <c r="J49" s="11" t="s">
        <v>218</v>
      </c>
      <c r="K49" s="8" t="str">
        <f t="shared" si="0"/>
        <v>PASS</v>
      </c>
    </row>
    <row r="50" spans="1:11" ht="27.6">
      <c r="A50" s="9" t="s">
        <v>2</v>
      </c>
      <c r="B50" s="9" t="s">
        <v>219</v>
      </c>
      <c r="C50" s="9" t="s">
        <v>212</v>
      </c>
      <c r="D50" s="9" t="s">
        <v>4</v>
      </c>
      <c r="E50" s="10" t="s">
        <v>213</v>
      </c>
      <c r="F50" s="10" t="s">
        <v>173</v>
      </c>
      <c r="G50" s="7" t="s">
        <v>41</v>
      </c>
      <c r="H50" s="7" t="s">
        <v>220</v>
      </c>
      <c r="I50" s="7">
        <v>3</v>
      </c>
      <c r="J50" s="11" t="s">
        <v>221</v>
      </c>
      <c r="K50" s="8" t="str">
        <f t="shared" si="0"/>
        <v>PASS</v>
      </c>
    </row>
  </sheetData>
  <mergeCells count="2">
    <mergeCell ref="A1:K1"/>
    <mergeCell ref="A2:K2"/>
  </mergeCells>
  <phoneticPr fontId="9" type="noConversion"/>
  <conditionalFormatting sqref="K5:K50">
    <cfRule type="cellIs" dxfId="1" priority="1" operator="equal">
      <formula>"PASS"</formula>
    </cfRule>
  </conditionalFormatting>
  <dataValidations count="2">
    <dataValidation type="list" sqref="G5:G50" xr:uid="{00000000-0002-0000-0100-000000000000}">
      <formula1>"supported,unsupported"</formula1>
    </dataValidation>
    <dataValidation type="whole" sqref="I5:I50" xr:uid="{00000000-0002-0000-0100-000001000000}">
      <formula1>1</formula1>
      <formula2>3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5"/>
  <sheetViews>
    <sheetView workbookViewId="0">
      <selection sqref="A1:D1"/>
    </sheetView>
  </sheetViews>
  <sheetFormatPr defaultRowHeight="13.8"/>
  <cols>
    <col min="1" max="1" width="24" customWidth="1"/>
    <col min="2" max="2" width="26" customWidth="1"/>
    <col min="3" max="3" width="64" customWidth="1"/>
    <col min="4" max="4" width="55" customWidth="1"/>
  </cols>
  <sheetData>
    <row r="1" spans="1:4" ht="22.35" customHeight="1">
      <c r="A1" s="15" t="s">
        <v>222</v>
      </c>
      <c r="B1" s="15" t="s">
        <v>222</v>
      </c>
      <c r="C1" s="15" t="s">
        <v>222</v>
      </c>
      <c r="D1" s="15" t="s">
        <v>222</v>
      </c>
    </row>
    <row r="2" spans="1:4">
      <c r="A2" s="2"/>
      <c r="B2" s="2"/>
      <c r="C2" s="2"/>
      <c r="D2" s="2"/>
    </row>
    <row r="3" spans="1:4" ht="19.2" customHeight="1">
      <c r="A3" s="12" t="s">
        <v>223</v>
      </c>
      <c r="B3" s="12" t="s">
        <v>224</v>
      </c>
      <c r="C3" s="12" t="s">
        <v>225</v>
      </c>
      <c r="D3" s="12" t="s">
        <v>226</v>
      </c>
    </row>
    <row r="4" spans="1:4" ht="27.6">
      <c r="A4" s="13" t="s">
        <v>32</v>
      </c>
      <c r="B4" s="13" t="s">
        <v>41</v>
      </c>
      <c r="C4" s="13" t="s">
        <v>227</v>
      </c>
      <c r="D4" s="13" t="s">
        <v>228</v>
      </c>
    </row>
    <row r="5" spans="1:4" ht="27.6">
      <c r="A5" s="13" t="s">
        <v>32</v>
      </c>
      <c r="B5" s="13" t="s">
        <v>184</v>
      </c>
      <c r="C5" s="13" t="s">
        <v>229</v>
      </c>
      <c r="D5" s="13" t="s">
        <v>230</v>
      </c>
    </row>
    <row r="6" spans="1:4" ht="27.6">
      <c r="A6" s="13" t="s">
        <v>231</v>
      </c>
      <c r="B6" s="13" t="s">
        <v>232</v>
      </c>
      <c r="C6" s="13" t="s">
        <v>233</v>
      </c>
      <c r="D6" s="13" t="s">
        <v>234</v>
      </c>
    </row>
    <row r="7" spans="1:4" ht="27.6">
      <c r="A7" s="13" t="s">
        <v>235</v>
      </c>
      <c r="B7" s="13" t="s">
        <v>236</v>
      </c>
      <c r="C7" s="13" t="s">
        <v>237</v>
      </c>
      <c r="D7" s="13" t="s">
        <v>238</v>
      </c>
    </row>
    <row r="8" spans="1:4" ht="27.6">
      <c r="A8" s="13" t="s">
        <v>239</v>
      </c>
      <c r="B8" s="13" t="s">
        <v>240</v>
      </c>
      <c r="C8" s="13" t="s">
        <v>241</v>
      </c>
      <c r="D8" s="13" t="s">
        <v>242</v>
      </c>
    </row>
    <row r="9" spans="1:4">
      <c r="A9" s="13" t="s">
        <v>243</v>
      </c>
      <c r="B9" s="13" t="s">
        <v>244</v>
      </c>
      <c r="C9" s="13" t="s">
        <v>245</v>
      </c>
      <c r="D9" s="13" t="s">
        <v>246</v>
      </c>
    </row>
    <row r="10" spans="1:4">
      <c r="A10" s="13" t="s">
        <v>243</v>
      </c>
      <c r="B10" s="13" t="s">
        <v>247</v>
      </c>
      <c r="C10" s="13" t="s">
        <v>248</v>
      </c>
      <c r="D10" s="13"/>
    </row>
    <row r="11" spans="1:4">
      <c r="A11" s="13" t="s">
        <v>243</v>
      </c>
      <c r="B11" s="13" t="s">
        <v>249</v>
      </c>
      <c r="C11" s="13" t="s">
        <v>250</v>
      </c>
      <c r="D11" s="13"/>
    </row>
    <row r="12" spans="1:4">
      <c r="A12" s="13"/>
      <c r="B12" s="13"/>
      <c r="C12" s="13"/>
      <c r="D12" s="13"/>
    </row>
    <row r="13" spans="1:4" ht="27.6">
      <c r="A13" s="6" t="s">
        <v>251</v>
      </c>
      <c r="B13" s="13" t="s">
        <v>252</v>
      </c>
      <c r="C13" s="13"/>
      <c r="D13" s="13"/>
    </row>
    <row r="14" spans="1:4" ht="55.2">
      <c r="A14" s="6" t="s">
        <v>253</v>
      </c>
      <c r="B14" s="13" t="s">
        <v>254</v>
      </c>
      <c r="C14" s="13"/>
      <c r="D14" s="13"/>
    </row>
    <row r="15" spans="1:4" ht="41.4">
      <c r="A15" s="6" t="s">
        <v>255</v>
      </c>
      <c r="B15" s="13" t="s">
        <v>256</v>
      </c>
      <c r="C15" s="13"/>
      <c r="D15" s="13"/>
    </row>
  </sheetData>
  <mergeCells count="1">
    <mergeCell ref="A1:D1"/>
  </mergeCells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4"/>
  <sheetViews>
    <sheetView workbookViewId="0">
      <selection sqref="A1:C1"/>
    </sheetView>
  </sheetViews>
  <sheetFormatPr defaultRowHeight="13.8"/>
  <cols>
    <col min="1" max="1" width="38" customWidth="1"/>
    <col min="2" max="3" width="68" customWidth="1"/>
  </cols>
  <sheetData>
    <row r="1" spans="1:3" ht="22.35" customHeight="1">
      <c r="A1" s="15" t="s">
        <v>257</v>
      </c>
      <c r="B1" s="15" t="s">
        <v>257</v>
      </c>
      <c r="C1" s="15" t="s">
        <v>257</v>
      </c>
    </row>
    <row r="2" spans="1:3">
      <c r="A2" s="2"/>
      <c r="B2" s="2"/>
      <c r="C2" s="2"/>
    </row>
    <row r="3" spans="1:3" ht="19.2" customHeight="1">
      <c r="A3" s="12" t="s">
        <v>258</v>
      </c>
      <c r="B3" s="12" t="s">
        <v>259</v>
      </c>
      <c r="C3" s="12" t="s">
        <v>260</v>
      </c>
    </row>
    <row r="4" spans="1:3">
      <c r="A4" s="6" t="s">
        <v>9</v>
      </c>
      <c r="B4" s="13">
        <f>COUNTA('Phase 2 Coding'!B5:B50)</f>
        <v>46</v>
      </c>
      <c r="C4" s="13">
        <v>46</v>
      </c>
    </row>
    <row r="5" spans="1:3">
      <c r="A5" s="6" t="s">
        <v>261</v>
      </c>
      <c r="B5" s="13">
        <f>COUNTIF('Phase 2 Coding'!G5:G50,"supported")+COUNTIF('Phase 2 Coding'!G5:G50,"unsupported")</f>
        <v>46</v>
      </c>
      <c r="C5" s="13">
        <v>46</v>
      </c>
    </row>
    <row r="6" spans="1:3">
      <c r="A6" s="6" t="s">
        <v>262</v>
      </c>
      <c r="B6" s="13">
        <f>COUNTIF('Phase 2 Coding'!H5:H50,"&lt;&gt;")</f>
        <v>46</v>
      </c>
      <c r="C6" s="13">
        <v>46</v>
      </c>
    </row>
    <row r="7" spans="1:3">
      <c r="A7" s="6" t="s">
        <v>263</v>
      </c>
      <c r="B7" s="13">
        <f>COUNT('Phase 2 Coding'!I5:I50)</f>
        <v>46</v>
      </c>
      <c r="C7" s="13">
        <v>46</v>
      </c>
    </row>
    <row r="8" spans="1:3">
      <c r="A8" s="6" t="s">
        <v>264</v>
      </c>
      <c r="B8" s="13">
        <f>COUNTIF('Phase 2 Coding'!J5:J50,"?*")</f>
        <v>46</v>
      </c>
      <c r="C8" s="13">
        <v>46</v>
      </c>
    </row>
    <row r="9" spans="1:3">
      <c r="A9" s="6" t="s">
        <v>265</v>
      </c>
      <c r="B9" s="13">
        <f>COUNTIF('Phase 2 Coding'!K5:K50,"PASS")</f>
        <v>46</v>
      </c>
      <c r="C9" s="13">
        <v>46</v>
      </c>
    </row>
    <row r="10" spans="1:3">
      <c r="A10" s="6" t="s">
        <v>266</v>
      </c>
      <c r="B10" s="13">
        <f>COUNTIF('Phase 2 Coding'!K5:K50,"CHECK")</f>
        <v>0</v>
      </c>
      <c r="C10" s="13">
        <v>0</v>
      </c>
    </row>
    <row r="11" spans="1:3">
      <c r="A11" s="6" t="s">
        <v>267</v>
      </c>
      <c r="B11" s="13">
        <f>COUNTIF('Start Here'!B11:B15,"Yes")+COUNTIF('Start Here'!B20,"Yes")</f>
        <v>6</v>
      </c>
      <c r="C11" s="13">
        <v>6</v>
      </c>
    </row>
    <row r="12" spans="1:3">
      <c r="A12" s="6" t="s">
        <v>268</v>
      </c>
      <c r="B12" s="13" t="s">
        <v>6</v>
      </c>
      <c r="C12" s="13" t="s">
        <v>6</v>
      </c>
    </row>
    <row r="13" spans="1:3">
      <c r="A13" s="13"/>
      <c r="B13" s="13"/>
      <c r="C13" s="13"/>
    </row>
    <row r="14" spans="1:3">
      <c r="A14" s="12" t="s">
        <v>269</v>
      </c>
      <c r="B14" s="14" t="str">
        <f>IF(AND(B4=C4,B5=C5,B6=C6,B7=C7,B8=C8,B9=C9,B10=C10,B11=C11,B12=C12),"PASS","CHECK")</f>
        <v>PASS</v>
      </c>
      <c r="C14" s="14" t="s">
        <v>270</v>
      </c>
    </row>
  </sheetData>
  <mergeCells count="1">
    <mergeCell ref="A1:C1"/>
  </mergeCells>
  <phoneticPr fontId="9" type="noConversion"/>
  <conditionalFormatting sqref="B14">
    <cfRule type="cellIs" dxfId="0" priority="1" operator="equal">
      <formula>"PASS"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Start Here</vt:lpstr>
      <vt:lpstr>Phase 2 Coding</vt:lpstr>
      <vt:lpstr>Codebook</vt:lpstr>
      <vt:lpstr>QA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Liu, Jingyang E</cp:lastModifiedBy>
  <dcterms:modified xsi:type="dcterms:W3CDTF">2026-08-09T16:43:37Z</dcterms:modified>
</cp:coreProperties>
</file>