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4fb971d5d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6f1acabb174176"/>
    <x:sheet xmlns:r="http://schemas.openxmlformats.org/officeDocument/2006/relationships" name="Paired Coding" sheetId="2" r:id="Raa2ebd404f254428"/>
    <x:sheet xmlns:r="http://schemas.openxmlformats.org/officeDocument/2006/relationships" name="Unique Text" sheetId="3" r:id="R19d48e59a51b4875"/>
    <x:sheet xmlns:r="http://schemas.openxmlformats.org/officeDocument/2006/relationships" name="Disagreement" sheetId="4" r:id="Ra0a2c268a14e401a"/>
    <x:sheet xmlns:r="http://schemas.openxmlformats.org/officeDocument/2006/relationships" name="Provenance &amp; QA" sheetId="5" r:id="R80b2b593d2c1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3A52"/>
      <x:name val="Carlito"/>
    </x:font>
    <x:font>
      <x:b/>
      <x:sz val="11"/>
      <x:color rgb="FF7A4B00"/>
      <x:name val="Carlito"/>
    </x:font>
    <x:font>
      <x:b/>
      <x:sz val="11"/>
      <x:color rgb="FFFFFFFF"/>
      <x:name val="Carlito"/>
    </x:font>
    <x:font>
      <x:sz val="11"/>
      <x:color rgb="FF17242D"/>
      <x:name val="Carlito"/>
    </x:font>
    <x:font>
      <x:sz val="10"/>
      <x:color rgb="FF17242D"/>
      <x:name val="Carlito"/>
    </x:font>
    <x:font>
      <x:b/>
      <x:sz val="10"/>
      <x:color rgb="FF7A4B00"/>
      <x:name val="Carlito"/>
    </x:font>
    <x:font>
      <x:b/>
      <x:sz val="10"/>
      <x:color rgb="FF143A5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3A52"/>
      </x:patternFill>
    </x:fill>
    <x:fill>
      <x:patternFill patternType="solid">
        <x:fgColor rgb="FFE8F1F5"/>
      </x:patternFill>
    </x:fill>
    <x:fill>
      <x:patternFill patternType="solid">
        <x:fgColor rgb="FFFFF3C4"/>
      </x:patternFill>
    </x:fill>
    <x:fill>
      <x:patternFill patternType="solid">
        <x:fgColor rgb="FF14858A"/>
      </x:patternFill>
    </x:fill>
    <x:fill>
      <x:patternFill patternType="solid">
        <x:fgColor rgb="FFF2F4F5"/>
      </x:patternFill>
    </x:fill>
  </x:fills>
  <x:borders count="8">
    <x:border/>
    <x:border>
      <x:left style="thin">
        <x:color rgb="FFB9C8D0"/>
      </x:left>
      <x:top style="thin">
        <x:color rgb="FFB9C8D0"/>
      </x:top>
      <x:bottom style="thin">
        <x:color rgb="FFB9C8D0"/>
      </x:bottom>
    </x:border>
    <x:border>
      <x:right style="thin">
        <x:color rgb="FFB9C8D0"/>
      </x:right>
      <x:top style="thin">
        <x:color rgb="FFB9C8D0"/>
      </x:top>
      <x:bottom style="thin">
        <x:color rgb="FFB9C8D0"/>
      </x:bottom>
    </x:border>
    <x:border>
      <x:left style="thin">
        <x:color rgb="FFCDD7DC"/>
      </x:left>
      <x:right style="thin">
        <x:color rgb="FFCDD7DC"/>
      </x:right>
      <x:top style="thin">
        <x:color rgb="FFCDD7DC"/>
      </x:top>
    </x:border>
    <x:border>
      <x:left style="thin">
        <x:color rgb="FFCDD7DC"/>
      </x:left>
      <x:right style="thin">
        <x:color rgb="FFCDD7DC"/>
      </x:right>
    </x:border>
    <x:border>
      <x:left style="thin">
        <x:color rgb="FFCDD7DC"/>
      </x:left>
      <x:right style="thin">
        <x:color rgb="FFCDD7DC"/>
      </x:right>
      <x:bottom style="thin">
        <x:color rgb="FFCDD7DC"/>
      </x:bottom>
    </x:border>
    <x:border>
      <x:top style="thin">
        <x:color rgb="FFB9C8D0"/>
      </x:top>
      <x:bottom style="thin">
        <x:color rgb="FFB9C8D0"/>
      </x:bottom>
    </x:border>
    <x:border>
      <x:left style="thin">
        <x:color rgb="FFCDD7DC"/>
      </x:left>
      <x:right style="thin">
        <x:color rgb="FFCDD7DC"/>
      </x:right>
      <x:top style="thin">
        <x:color rgb="FFCDD7DC"/>
      </x:top>
      <x:bottom style="thin">
        <x:color rgb="FFCDD7DC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6" xfId="0" applyNumberFormat="1" applyFont="1" applyFill="1" applyBorder="1"/>
    <x:xf numFmtId="0" fontId="4" fillId="2" borderId="2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6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e34e696c2443c" /><Relationship Type="http://schemas.openxmlformats.org/officeDocument/2006/relationships/theme" Target="/xl/theme/theme1.xml" Id="Rdb3950a304a74580" /><Relationship Type="http://schemas.microsoft.com/office/2022/11/relationships/FeaturePropertyBag" Target="/xl/featurePropertyBag/featurePropertyBag.xml" Id="Re97007e6f12e4d0c" /><Relationship Type="http://schemas.openxmlformats.org/officeDocument/2006/relationships/sharedStrings" Target="/xl/sharedStrings.xml" Id="R4829c5e6c2ac48e4" /><Relationship Type="http://schemas.openxmlformats.org/officeDocument/2006/relationships/worksheet" Target="/xl/worksheets/sheet1.xml" Id="R1e6f1acabb174176" /><Relationship Type="http://schemas.openxmlformats.org/officeDocument/2006/relationships/worksheet" Target="/xl/worksheets/sheet2.xml" Id="Raa2ebd404f254428" /><Relationship Type="http://schemas.openxmlformats.org/officeDocument/2006/relationships/worksheet" Target="/xl/worksheets/sheet3.xml" Id="R19d48e59a51b4875" /><Relationship Type="http://schemas.openxmlformats.org/officeDocument/2006/relationships/worksheet" Target="/xl/worksheets/sheet4.xml" Id="Ra0a2c268a14e401a" /><Relationship Type="http://schemas.openxmlformats.org/officeDocument/2006/relationships/worksheet" Target="/xl/worksheets/sheet5.xml" Id="R80b2b593d2c146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18" hidden="0" customWidth="1"/>
    <x:col min="4" max="4" width="25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</x:cols>
  <x:sheetData>
    <x:row r="1" ht="19.200000762939453" hidden="0" customHeight="1">
      <x:c r="A1" s="3" t="str">
        <x:v>PurrStone v10.2 — UCR Phase 2 return audit</x:v>
      </x:c>
      <x:c r="B1" s="3"/>
      <x:c r="C1" s="3"/>
      <x:c r="D1" s="3"/>
      <x:c r="E1" s="3"/>
      <x:c r="F1" s="3"/>
      <x:c r="G1" s="3"/>
      <x:c r="H1" s="3"/>
    </x:row>
    <x:row r="2"/>
    <x:row r="3" ht="15" hidden="0" customHeight="1">
      <x:c r="A3" s="6" t="str">
        <x:v>Current status</x:v>
      </x:c>
      <x:c r="B3" s="8" t="str">
        <x:v>PENDING — 1 blinded disagreement must be resolved</x:v>
      </x:c>
    </x:row>
    <x:row r="4"/>
    <x:row r="5" ht="15" hidden="0" customHeight="1">
      <x:c r="A5" s="15" t="str">
        <x:v>Primary nominal analysis</x:v>
      </x:c>
      <x:c r="B5" s="16" t="str">
        <x:v>Observed</x:v>
      </x:c>
      <x:c r="D5" s="15" t="str">
        <x:v>Initial 2×2 table</x:v>
      </x:c>
      <x:c r="E5" s="26" t="str">
        <x:v>Coder02 supported</x:v>
      </x:c>
      <x:c r="F5" s="26" t="str">
        <x:v>Coder02 unsupported</x:v>
      </x:c>
      <x:c r="G5" s="16" t="str">
        <x:v>Total</x:v>
      </x:c>
    </x:row>
    <x:row r="6" ht="15" hidden="0" customHeight="1">
      <x:c r="A6" s="6" t="str">
        <x:v>Frozen proposition rows</x:v>
      </x:c>
      <x:c r="B6" s="19" t="n">
        <x:f>COUNTA('Paired Coding'!A5:A50)</x:f>
        <x:v>46</x:v>
      </x:c>
      <x:c r="D6" s="6" t="str">
        <x:v>Coder01 supported</x:v>
      </x:c>
      <x:c r="E6" s="28" t="n">
        <x:f>COUNTIFS('Paired Coding'!D5:D50,"supported",'Paired Coding'!H5:H50,"supported")</x:f>
        <x:v>43</x:v>
      </x:c>
      <x:c r="F6" s="28" t="n">
        <x:f>COUNTIFS('Paired Coding'!D5:D50,"supported",'Paired Coding'!H5:H50,"unsupported")</x:f>
        <x:v>0</x:v>
      </x:c>
      <x:c r="G6" s="28" t="n">
        <x:f>SUM(E6:F6)</x:f>
        <x:v>43</x:v>
      </x:c>
    </x:row>
    <x:row r="7" ht="15" hidden="0" customHeight="1">
      <x:c r="A7" s="6" t="str">
        <x:v>Exact agreements</x:v>
      </x:c>
      <x:c r="B7" s="20" t="n">
        <x:f>COUNTIF('Paired Coding'!L5:L50,"AGREE")</x:f>
        <x:v>45</x:v>
      </x:c>
      <x:c r="D7" s="6" t="str">
        <x:v>Coder01 unsupported</x:v>
      </x:c>
      <x:c r="E7" s="28" t="n">
        <x:f>COUNTIFS('Paired Coding'!D5:D50,"unsupported",'Paired Coding'!H5:H50,"supported")</x:f>
        <x:v>1</x:v>
      </x:c>
      <x:c r="F7" s="28" t="n">
        <x:f>COUNTIFS('Paired Coding'!D5:D50,"unsupported",'Paired Coding'!H5:H50,"unsupported")</x:f>
        <x:v>2</x:v>
      </x:c>
      <x:c r="G7" s="28" t="n">
        <x:f>SUM(E7:F7)</x:f>
        <x:v>3</x:v>
      </x:c>
    </x:row>
    <x:row r="8" ht="15" hidden="0" customHeight="1">
      <x:c r="A8" s="6" t="str">
        <x:v>Exact agreement rate</x:v>
      </x:c>
      <x:c r="B8" s="21" t="n">
        <x:f>B7/B6</x:f>
        <x:v>0.9782608695652174</x:v>
      </x:c>
      <x:c r="D8" s="6" t="str">
        <x:v>Total</x:v>
      </x:c>
      <x:c r="E8" s="28" t="n">
        <x:f>SUM(E6:E7)</x:f>
        <x:v>44</x:v>
      </x:c>
      <x:c r="F8" s="28" t="n">
        <x:f>SUM(F6:F7)</x:f>
        <x:v>2</x:v>
      </x:c>
      <x:c r="G8" s="28" t="n">
        <x:f>SUM(G6:G7)</x:f>
        <x:v>46</x:v>
      </x:c>
    </x:row>
    <x:row r="9" ht="15" hidden="0" customHeight="1">
      <x:c r="A9" s="6" t="str">
        <x:v>Cohen's κ</x:v>
      </x:c>
      <x:c r="B9" s="22" t="n">
        <x:f>(B8-B10)/(1-B10)</x:f>
        <x:v>0.7889908256880735</x:v>
      </x:c>
    </x:row>
    <x:row r="10" ht="15" hidden="0" customHeight="1">
      <x:c r="A10" s="6" t="str">
        <x:v>Chance agreement</x:v>
      </x:c>
      <x:c r="B10" s="21" t="n">
        <x:f>(G6*E8+G7*F8)/(G8^2)</x:f>
        <x:v>0.8969754253308129</x:v>
      </x:c>
      <x:c r="D10" s="15" t="str">
        <x:v>Unique-text sensitivity</x:v>
      </x:c>
      <x:c r="E10" s="16" t="str">
        <x:v>Observed</x:v>
      </x:c>
    </x:row>
    <x:row r="11" ht="15" hidden="0" customHeight="1">
      <x:c r="A11" s="6" t="str">
        <x:v>Coder01 UCR</x:v>
      </x:c>
      <x:c r="B11" s="21" t="n">
        <x:f>COUNTIF('Paired Coding'!D5:D50,"unsupported")/B6</x:f>
        <x:v>0.06521739130434782</x:v>
      </x:c>
      <x:c r="D11" s="6" t="str">
        <x:v>Unique proposition texts</x:v>
      </x:c>
      <x:c r="E11" t="n">
        <x:f>COUNTA('Unique Text'!A5:A31)</x:f>
        <x:v>27</x:v>
      </x:c>
    </x:row>
    <x:row r="12" ht="15" hidden="0" customHeight="1">
      <x:c r="A12" s="6" t="str">
        <x:v>Coder02 UCR</x:v>
      </x:c>
      <x:c r="B12" s="21" t="n">
        <x:f>COUNTIF('Paired Coding'!H5:H50,"unsupported")/B6</x:f>
        <x:v>0.043478260869565216</x:v>
      </x:c>
      <x:c r="D12" s="6" t="str">
        <x:v>Unique-text agreements</x:v>
      </x:c>
      <x:c r="E12" t="n">
        <x:f>COUNTIF('Unique Text'!G5:G31,"AGREE")</x:f>
        <x:v>26</x:v>
      </x:c>
    </x:row>
    <x:row r="13" ht="15" hidden="0" customHeight="1">
      <x:c r="A13" s="6" t="str">
        <x:v>Disagreements</x:v>
      </x:c>
      <x:c r="B13" s="20" t="n">
        <x:f>COUNTIF('Paired Coding'!L5:L50,"DISAGREE")</x:f>
        <x:v>1</x:v>
      </x:c>
      <x:c r="D13" s="6" t="str">
        <x:v>Unique-text agreement rate</x:v>
      </x:c>
      <x:c r="E13" s="17" t="n">
        <x:f>E12/E11</x:f>
        <x:v>0.9629629629629629</x:v>
      </x:c>
    </x:row>
    <x:row r="14" ht="15" hidden="0" customHeight="1">
      <x:c r="A14" s="6" t="str">
        <x:v>Final consensus UCR</x:v>
      </x:c>
      <x:c r="B14" s="20" t="str">
        <x:v>PENDING</x:v>
      </x:c>
      <x:c r="D14" s="6" t="str">
        <x:v>Possible final unique-text UCR</x:v>
      </x:c>
      <x:c r="E14" t="str">
        <x:v>2/27–3/27 (7.4%–11.1%)</x:v>
      </x:c>
    </x:row>
    <x:row r="15" ht="26.399999618530273" hidden="0" customHeight="1">
      <x:c r="A15" s="6" t="str">
        <x:v>Possible final range before resolution</x:v>
      </x:c>
      <x:c r="B15" s="23" t="str">
        <x:v>2/46–3/46 (4.3%–6.5%)</x:v>
      </x:c>
    </x:row>
    <x:row r="16"/>
    <x:row r="17" ht="15" hidden="0" customHeight="1">
      <x:c r="A17" s="36" t="str">
        <x:v>Interpretation boundary</x:v>
      </x:c>
      <x:c r="B17" s="37"/>
      <x:c r="C17" s="37"/>
      <x:c r="D17" s="37"/>
      <x:c r="E17" s="37"/>
      <x:c r="F17" s="37"/>
      <x:c r="G17" s="37"/>
      <x:c r="H17" s="38"/>
    </x:row>
    <x:row r="18">
      <x:c r="A18" s="42" t="str">
        <x:v>The 46 nominal propositions come from 9 MVP evidence items but contain only 27 unique proposition texts. No Baseline item entered this source-fidelity analysis because the corresponding Baseline runs did not complete. Therefore UCR is a within-MVP source-support estimate for this fixed evidence set, not an MVP-versus-Baseline fidelity comparison. Initial agreement must remain 45/46 even after the one disagreement is resolved.</x:v>
      </x:c>
      <x:c r="B18" s="42"/>
      <x:c r="C18" s="42"/>
      <x:c r="D18" s="42"/>
      <x:c r="E18" s="42"/>
      <x:c r="F18" s="42"/>
      <x:c r="G18" s="42"/>
      <x:c r="H18" s="42"/>
    </x:row>
    <x:row r="19">
      <x:c r="A19" s="42"/>
      <x:c r="B19" s="42"/>
      <x:c r="C19" s="42"/>
      <x:c r="D19" s="42"/>
      <x:c r="E19" s="42"/>
      <x:c r="F19" s="42"/>
      <x:c r="G19" s="42"/>
      <x:c r="H19" s="42"/>
    </x:row>
    <x:row r="20">
      <x:c r="A20" s="42"/>
      <x:c r="B20" s="42"/>
      <x:c r="C20" s="42"/>
      <x:c r="D20" s="42"/>
      <x:c r="E20" s="42"/>
      <x:c r="F20" s="42"/>
      <x:c r="G20" s="42"/>
      <x:c r="H20" s="42"/>
    </x:row>
    <x:row r="21">
      <x:c r="A21" s="42"/>
      <x:c r="B21" s="42"/>
      <x:c r="C21" s="42"/>
      <x:c r="D21" s="42"/>
      <x:c r="E21" s="42"/>
      <x:c r="F21" s="42"/>
      <x:c r="G21" s="42"/>
      <x:c r="H21" s="42"/>
    </x:row>
    <x:row r="22">
      <x:c r="A22" s="42"/>
      <x:c r="B22" s="42"/>
      <x:c r="C22" s="42"/>
      <x:c r="D22" s="42"/>
      <x:c r="E22" s="42"/>
      <x:c r="F22" s="42"/>
      <x:c r="G22" s="42"/>
      <x:c r="H22" s="42"/>
    </x:row>
  </x:sheetData>
  <x:mergeCells>
    <x:mergeCell ref="A1:H1"/>
    <x:mergeCell ref="A17:H17"/>
    <x:mergeCell ref="A18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43" hidden="0" customWidth="1"/>
    <x:col min="4" max="4" width="13" hidden="0" customWidth="1"/>
    <x:col min="5" max="5" width="50" hidden="0" customWidth="1"/>
    <x:col min="6" max="6" width="9" hidden="0" customWidth="1"/>
    <x:col min="7" max="7" width="25" hidden="0" customWidth="1"/>
    <x:col min="8" max="8" width="13" hidden="0" customWidth="1"/>
    <x:col min="9" max="9" width="50" hidden="0" customWidth="1"/>
    <x:col min="10" max="10" width="9" hidden="0" customWidth="1"/>
    <x:col min="11" max="11" width="25" hidden="0" customWidth="1"/>
    <x:col min="12" max="12" width="13" hidden="0" customWidth="1"/>
  </x:cols>
  <x:sheetData>
    <x:row r="1" ht="19.200000762939453" hidden="0" customHeight="1">
      <x:c r="A1" s="3" t="str">
        <x:v>Locked independent Phase 2 coding — paired by frozen proposition ID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t="str">
        <x:v>Original coder entries are reproduced without alteration. Agreement is computed from the two independent labels.</x:v>
      </x:c>
    </x:row>
    <x:row r="3"/>
    <x:row r="4" ht="15" hidden="0" customHeight="1">
      <x:c r="A4" s="36" t="str">
        <x:v>Proposition ID</x:v>
      </x:c>
      <x:c r="B4" s="37" t="str">
        <x:v>Blind item</x:v>
      </x:c>
      <x:c r="C4" s="37" t="str">
        <x:v>Frozen proposition</x:v>
      </x:c>
      <x:c r="D4" s="37" t="str">
        <x:v>Coder01 label</x:v>
      </x:c>
      <x:c r="E4" s="37" t="str">
        <x:v>Coder01 rationale</x:v>
      </x:c>
      <x:c r="F4" s="37" t="str">
        <x:v>C1 conf.</x:v>
      </x:c>
      <x:c r="G4" s="37" t="str">
        <x:v>C1 completed</x:v>
      </x:c>
      <x:c r="H4" s="37" t="str">
        <x:v>Coder02 label</x:v>
      </x:c>
      <x:c r="I4" s="37" t="str">
        <x:v>Coder02 rationale</x:v>
      </x:c>
      <x:c r="J4" s="37" t="str">
        <x:v>C2 conf.</x:v>
      </x:c>
      <x:c r="K4" s="37" t="str">
        <x:v>C2 completed</x:v>
      </x:c>
      <x:c r="L4" s="38" t="str">
        <x:v>Agreement</x:v>
      </x:c>
    </x:row>
    <x:row r="5" ht="24" hidden="0" customHeight="1">
      <x:c r="A5" s="45" t="str">
        <x:v>SF-001-P01</x:v>
      </x:c>
      <x:c r="B5" s="45" t="str">
        <x:v>SF-001</x:v>
      </x:c>
      <x:c r="C5" s="45" t="str">
        <x:v>Sharp braking noise was one of the participant's strongest triggers.</x:v>
      </x:c>
      <x:c r="D5" s="46" t="str">
        <x:v>supported</x:v>
      </x:c>
      <x:c r="E5" s="45" t="str">
        <x:v>The participant explicitly names sharp braking noise as one of the strongest triggers.</x:v>
      </x:c>
      <x:c r="F5" s="45" t="n">
        <x:v>3</x:v>
      </x:c>
      <x:c r="G5" s="45" t="str">
        <x:v>2026-08-09T18:48:15+0800</x:v>
      </x:c>
      <x:c r="H5" s="46" t="str">
        <x:v>supported</x:v>
      </x:c>
      <x:c r="I5" s="45" t="str">
        <x:v>Trigger list includes sharp braking noise at the stated strength.</x:v>
      </x:c>
      <x:c r="J5" s="45" t="n">
        <x:v>3</x:v>
      </x:c>
      <x:c r="K5" s="45" t="str">
        <x:v>2026-08-09T20:12:26+0800</x:v>
      </x:c>
      <x:c r="L5" s="47" t="str">
        <x:f>IF(D5=H5,"AGREE","DISAGREE")</x:f>
        <x:v>AGREE</x:v>
      </x:c>
    </x:row>
    <x:row r="6" ht="24" hidden="0" customHeight="1">
      <x:c r="A6" s="45" t="str">
        <x:v>SF-001-P02</x:v>
      </x:c>
      <x:c r="B6" s="45" t="str">
        <x:v>SF-001</x:v>
      </x:c>
      <x:c r="C6" s="45" t="str">
        <x:v>Flashing carriage lights were one of the participant's strongest triggers.</x:v>
      </x:c>
      <x:c r="D6" s="46" t="str">
        <x:v>supported</x:v>
      </x:c>
      <x:c r="E6" s="45" t="str">
        <x:v>Flashing carriage lights are explicitly included in the participant's list of strongest triggers.</x:v>
      </x:c>
      <x:c r="F6" s="45" t="n">
        <x:v>3</x:v>
      </x:c>
      <x:c r="G6" s="45" t="str">
        <x:v>2026-08-09T18:49:29+0800</x:v>
      </x:c>
      <x:c r="H6" s="46" t="str">
        <x:v>supported</x:v>
      </x:c>
      <x:c r="I6" s="45" t="str">
        <x:v>Trigger list includes flashing carriage lights at the stated strength.</x:v>
      </x:c>
      <x:c r="J6" s="45" t="n">
        <x:v>3</x:v>
      </x:c>
      <x:c r="K6" s="45" t="str">
        <x:v>2026-08-09T20:13:21+0800</x:v>
      </x:c>
      <x:c r="L6" s="47" t="str">
        <x:f>IF(D6=H6,"AGREE","DISAGREE")</x:f>
        <x:v>AGREE</x:v>
      </x:c>
    </x:row>
    <x:row r="7" ht="15" hidden="0" customHeight="1">
      <x:c r="A7" s="45" t="str">
        <x:v>SF-001-P03</x:v>
      </x:c>
      <x:c r="B7" s="45" t="str">
        <x:v>SF-001</x:v>
      </x:c>
      <x:c r="C7" s="45" t="str">
        <x:v>Crowding was one of the participant's strongest triggers.</x:v>
      </x:c>
      <x:c r="D7" s="46" t="str">
        <x:v>supported</x:v>
      </x:c>
      <x:c r="E7" s="45" t="str">
        <x:v>Crowding is directly listed alongside the other strongest triggers.</x:v>
      </x:c>
      <x:c r="F7" s="45" t="n">
        <x:v>3</x:v>
      </x:c>
      <x:c r="G7" s="45" t="str">
        <x:v>2026-08-09T18:50:54+0800</x:v>
      </x:c>
      <x:c r="H7" s="46" t="str">
        <x:v>supported</x:v>
      </x:c>
      <x:c r="I7" s="45" t="str">
        <x:v>Trigger list includes crowding at the stated strength.</x:v>
      </x:c>
      <x:c r="J7" s="45" t="n">
        <x:v>3</x:v>
      </x:c>
      <x:c r="K7" s="45" t="str">
        <x:v>2026-08-09T20:14:23+0800</x:v>
      </x:c>
      <x:c r="L7" s="47" t="str">
        <x:f>IF(D7=H7,"AGREE","DISAGREE")</x:f>
        <x:v>AGREE</x:v>
      </x:c>
    </x:row>
    <x:row r="8" ht="15" hidden="0" customHeight="1">
      <x:c r="A8" s="45" t="str">
        <x:v>SF-001-P04</x:v>
      </x:c>
      <x:c r="B8" s="45" t="str">
        <x:v>SF-001</x:v>
      </x:c>
      <x:c r="C8" s="45" t="str">
        <x:v>The participant's shoulders tightened.</x:v>
      </x:c>
      <x:c r="D8" s="46" t="str">
        <x:v>supported</x:v>
      </x:c>
      <x:c r="E8" s="45" t="str">
        <x:v>The source directly states that the participant's shoulders tightened.</x:v>
      </x:c>
      <x:c r="F8" s="45" t="n">
        <x:v>3</x:v>
      </x:c>
      <x:c r="G8" s="45" t="str">
        <x:v>2026-08-09T18:52:01+0800</x:v>
      </x:c>
      <x:c r="H8" s="46" t="str">
        <x:v>supported</x:v>
      </x:c>
      <x:c r="I8" s="45" t="str">
        <x:v>Explicit evidence: “My shoulders tightened.”</x:v>
      </x:c>
      <x:c r="J8" s="45" t="n">
        <x:v>3</x:v>
      </x:c>
      <x:c r="K8" s="45" t="str">
        <x:v>2026-08-09T20:15:32+0800</x:v>
      </x:c>
      <x:c r="L8" s="47" t="str">
        <x:f>IF(D8=H8,"AGREE","DISAGREE")</x:f>
        <x:v>AGREE</x:v>
      </x:c>
    </x:row>
    <x:row r="9" ht="15" hidden="0" customHeight="1">
      <x:c r="A9" s="45" t="str">
        <x:v>SF-001-P05</x:v>
      </x:c>
      <x:c r="B9" s="45" t="str">
        <x:v>SF-001</x:v>
      </x:c>
      <x:c r="C9" s="45" t="str">
        <x:v>The participant's heart raced.</x:v>
      </x:c>
      <x:c r="D9" s="46" t="str">
        <x:v>supported</x:v>
      </x:c>
      <x:c r="E9" s="45" t="str">
        <x:v>The participant directly reports that their heart raced.</x:v>
      </x:c>
      <x:c r="F9" s="45" t="n">
        <x:v>3</x:v>
      </x:c>
      <x:c r="G9" s="45" t="str">
        <x:v>2026-08-09T18:53:19+0800</x:v>
      </x:c>
      <x:c r="H9" s="46" t="str">
        <x:v>supported</x:v>
      </x:c>
      <x:c r="I9" s="45" t="str">
        <x:v>Explicit evidence: “my heart raced.”</x:v>
      </x:c>
      <x:c r="J9" s="45" t="n">
        <x:v>3</x:v>
      </x:c>
      <x:c r="K9" s="45" t="str">
        <x:v>2026-08-09T20:16:24+0800</x:v>
      </x:c>
      <x:c r="L9" s="47" t="str">
        <x:f>IF(D9=H9,"AGREE","DISAGREE")</x:f>
        <x:v>AGREE</x:v>
      </x:c>
    </x:row>
    <x:row r="10" ht="15" hidden="0" customHeight="1">
      <x:c r="A10" s="45" t="str">
        <x:v>SF-001-P06</x:v>
      </x:c>
      <x:c r="B10" s="45" t="str">
        <x:v>SF-001</x:v>
      </x:c>
      <x:c r="C10" s="45" t="str">
        <x:v>The participant felt panicked.</x:v>
      </x:c>
      <x:c r="D10" s="46" t="str">
        <x:v>supported</x:v>
      </x:c>
      <x:c r="E10" s="45" t="str">
        <x:v>The source explicitly says that the participant felt panicked.</x:v>
      </x:c>
      <x:c r="F10" s="45" t="n">
        <x:v>3</x:v>
      </x:c>
      <x:c r="G10" s="45" t="str">
        <x:v>2026-08-09T18:54:48+0800</x:v>
      </x:c>
      <x:c r="H10" s="46" t="str">
        <x:v>supported</x:v>
      </x:c>
      <x:c r="I10" s="45" t="str">
        <x:v>Explicit evidence: “I felt panicked.”</x:v>
      </x:c>
      <x:c r="J10" s="45" t="n">
        <x:v>3</x:v>
      </x:c>
      <x:c r="K10" s="45" t="str">
        <x:v>2026-08-09T20:17:23+0800</x:v>
      </x:c>
      <x:c r="L10" s="47" t="str">
        <x:f>IF(D10=H10,"AGREE","DISAGREE")</x:f>
        <x:v>AGREE</x:v>
      </x:c>
    </x:row>
    <x:row r="11" ht="15" hidden="0" customHeight="1">
      <x:c r="A11" s="45" t="str">
        <x:v>SF-002-P01</x:v>
      </x:c>
      <x:c r="B11" s="45" t="str">
        <x:v>SF-002</x:v>
      </x:c>
      <x:c r="C11" s="45" t="str">
        <x:v>The participant covered their ears.</x:v>
      </x:c>
      <x:c r="D11" s="46" t="str">
        <x:v>supported</x:v>
      </x:c>
      <x:c r="E11" s="45" t="str">
        <x:v>The participant directly states that they covered their ears.</x:v>
      </x:c>
      <x:c r="F11" s="45" t="n">
        <x:v>3</x:v>
      </x:c>
      <x:c r="G11" s="45" t="str">
        <x:v>2026-08-09T18:55:59+0800</x:v>
      </x:c>
      <x:c r="H11" s="46" t="str">
        <x:v>supported</x:v>
      </x:c>
      <x:c r="I11" s="45" t="str">
        <x:v>Explicit evidence: “I covered my ears.”</x:v>
      </x:c>
      <x:c r="J11" s="45" t="n">
        <x:v>3</x:v>
      </x:c>
      <x:c r="K11" s="45" t="str">
        <x:v>2026-08-09T20:18:29+0800</x:v>
      </x:c>
      <x:c r="L11" s="47" t="str">
        <x:f>IF(D11=H11,"AGREE","DISAGREE")</x:f>
        <x:v>AGREE</x:v>
      </x:c>
    </x:row>
    <x:row r="12" ht="15" hidden="0" customHeight="1">
      <x:c r="A12" s="45" t="str">
        <x:v>SF-002-P02</x:v>
      </x:c>
      <x:c r="B12" s="45" t="str">
        <x:v>SF-002</x:v>
      </x:c>
      <x:c r="C12" s="45" t="str">
        <x:v>The participant focused on slow breathing.</x:v>
      </x:c>
      <x:c r="D12" s="46" t="str">
        <x:v>supported</x:v>
      </x:c>
      <x:c r="E12" s="45" t="str">
        <x:v>The source directly reports that the participant focused on slow breathing.</x:v>
      </x:c>
      <x:c r="F12" s="45" t="n">
        <x:v>3</x:v>
      </x:c>
      <x:c r="G12" s="45" t="str">
        <x:v>2026-08-09T18:57:21+0800</x:v>
      </x:c>
      <x:c r="H12" s="46" t="str">
        <x:v>supported</x:v>
      </x:c>
      <x:c r="I12" s="45" t="str">
        <x:v>Explicit evidence: “focused on slow breathing.”</x:v>
      </x:c>
      <x:c r="J12" s="45" t="n">
        <x:v>3</x:v>
      </x:c>
      <x:c r="K12" s="45" t="str">
        <x:v>2026-08-09T20:19:18+0800</x:v>
      </x:c>
      <x:c r="L12" s="47" t="str">
        <x:f>IF(D12=H12,"AGREE","DISAGREE")</x:f>
        <x:v>AGREE</x:v>
      </x:c>
    </x:row>
    <x:row r="13" ht="15" hidden="0" customHeight="1">
      <x:c r="A13" s="45" t="str">
        <x:v>SF-002-P03</x:v>
      </x:c>
      <x:c r="B13" s="45" t="str">
        <x:v>SF-002</x:v>
      </x:c>
      <x:c r="C13" s="45" t="str">
        <x:v>The participant left at the next stop.</x:v>
      </x:c>
      <x:c r="D13" s="46" t="str">
        <x:v>supported</x:v>
      </x:c>
      <x:c r="E13" s="45" t="str">
        <x:v>The participant explicitly says they left at the next stop.</x:v>
      </x:c>
      <x:c r="F13" s="45" t="n">
        <x:v>3</x:v>
      </x:c>
      <x:c r="G13" s="45" t="str">
        <x:v>2026-08-09T18:58:25+0800</x:v>
      </x:c>
      <x:c r="H13" s="46" t="str">
        <x:v>supported</x:v>
      </x:c>
      <x:c r="I13" s="45" t="str">
        <x:v>Explicit evidence: “left at the next stop.”</x:v>
      </x:c>
      <x:c r="J13" s="45" t="n">
        <x:v>3</x:v>
      </x:c>
      <x:c r="K13" s="45" t="str">
        <x:v>2026-08-09T20:20:14+0800</x:v>
      </x:c>
      <x:c r="L13" s="47" t="str">
        <x:f>IF(D13=H13,"AGREE","DISAGREE")</x:f>
        <x:v>AGREE</x:v>
      </x:c>
    </x:row>
    <x:row r="14" ht="15" hidden="0" customHeight="1">
      <x:c r="A14" s="45" t="str">
        <x:v>SF-002-P04</x:v>
      </x:c>
      <x:c r="B14" s="45" t="str">
        <x:v>SF-002</x:v>
      </x:c>
      <x:c r="C14" s="45" t="str">
        <x:v>A quieter carriage would have helped the participant.</x:v>
      </x:c>
      <x:c r="D14" s="46" t="str">
        <x:v>supported</x:v>
      </x:c>
      <x:c r="E14" s="45" t="str">
        <x:v>The participant states that a quieter carriage would have helped.</x:v>
      </x:c>
      <x:c r="F14" s="45" t="n">
        <x:v>3</x:v>
      </x:c>
      <x:c r="G14" s="45" t="str">
        <x:v>2026-08-09T18:59:40+0800</x:v>
      </x:c>
      <x:c r="H14" s="46" t="str">
        <x:v>supported</x:v>
      </x:c>
      <x:c r="I14" s="45" t="str">
        <x:v>The helpful-change statement includes a quieter carriage.</x:v>
      </x:c>
      <x:c r="J14" s="45" t="n">
        <x:v>3</x:v>
      </x:c>
      <x:c r="K14" s="45" t="str">
        <x:v>2026-08-09T20:21:17+0800</x:v>
      </x:c>
      <x:c r="L14" s="47" t="str">
        <x:f>IF(D14=H14,"AGREE","DISAGREE")</x:f>
        <x:v>AGREE</x:v>
      </x:c>
    </x:row>
    <x:row r="15" ht="15" hidden="0" customHeight="1">
      <x:c r="A15" s="45" t="str">
        <x:v>SF-002-P05</x:v>
      </x:c>
      <x:c r="B15" s="45" t="str">
        <x:v>SF-002</x:v>
      </x:c>
      <x:c r="C15" s="45" t="str">
        <x:v>A warning before the alarm would have helped the participant.</x:v>
      </x:c>
      <x:c r="D15" s="46" t="str">
        <x:v>supported</x:v>
      </x:c>
      <x:c r="E15" s="45" t="str">
        <x:v>The source says that a warning before the alarm would have helped.</x:v>
      </x:c>
      <x:c r="F15" s="45" t="n">
        <x:v>3</x:v>
      </x:c>
      <x:c r="G15" s="45" t="str">
        <x:v>2026-08-09T19:01:06+0800</x:v>
      </x:c>
      <x:c r="H15" s="46" t="str">
        <x:v>supported</x:v>
      </x:c>
      <x:c r="I15" s="45" t="str">
        <x:v>The helpful-change statement includes advance warning before the alarm.</x:v>
      </x:c>
      <x:c r="J15" s="45" t="n">
        <x:v>3</x:v>
      </x:c>
      <x:c r="K15" s="45" t="str">
        <x:v>2026-08-09T20:22:27+0800</x:v>
      </x:c>
      <x:c r="L15" s="47" t="str">
        <x:f>IF(D15=H15,"AGREE","DISAGREE")</x:f>
        <x:v>AGREE</x:v>
      </x:c>
    </x:row>
    <x:row r="16" ht="24" hidden="0" customHeight="1">
      <x:c r="A16" s="45" t="str">
        <x:v>SF-002-P06</x:v>
      </x:c>
      <x:c r="B16" s="45" t="str">
        <x:v>SF-002</x:v>
      </x:c>
      <x:c r="C16" s="45" t="str">
        <x:v>The repeated announcements did not help because they added more noise.</x:v>
      </x:c>
      <x:c r="D16" s="46" t="str">
        <x:v>supported</x:v>
      </x:c>
      <x:c r="E16" s="45" t="str">
        <x:v>The source explicitly links the announcements not helping to their adding more noise.</x:v>
      </x:c>
      <x:c r="F16" s="45" t="n">
        <x:v>3</x:v>
      </x:c>
      <x:c r="G16" s="45" t="str">
        <x:v>2026-08-09T19:02:14+0800</x:v>
      </x:c>
      <x:c r="H16" s="46" t="str">
        <x:v>supported</x:v>
      </x:c>
      <x:c r="I16" s="45" t="str">
        <x:v>Both outcome and cause match: announcements did not help because they added noise.</x:v>
      </x:c>
      <x:c r="J16" s="45" t="n">
        <x:v>3</x:v>
      </x:c>
      <x:c r="K16" s="45" t="str">
        <x:v>2026-08-09T20:23:20+0800</x:v>
      </x:c>
      <x:c r="L16" s="47" t="str">
        <x:f>IF(D16=H16,"AGREE","DISAGREE")</x:f>
        <x:v>AGREE</x:v>
      </x:c>
    </x:row>
    <x:row r="17" ht="24" hidden="0" customHeight="1">
      <x:c r="A17" s="45" t="str">
        <x:v>SF-003-P01</x:v>
      </x:c>
      <x:c r="B17" s="45" t="str">
        <x:v>SF-003</x:v>
      </x:c>
      <x:c r="C17" s="45" t="str">
        <x:v>The squeeze interaction seemed useful because it would give the participant's hands a focus.</x:v>
      </x:c>
      <x:c r="D17" s="46" t="str">
        <x:v>supported</x:v>
      </x:c>
      <x:c r="E17" s="45" t="str">
        <x:v>The source states that the squeeze interaction seemed useful because it would give the participant's hands a focus.</x:v>
      </x:c>
      <x:c r="F17" s="45" t="n">
        <x:v>3</x:v>
      </x:c>
      <x:c r="G17" s="45" t="str">
        <x:v>2026-08-09T19:03:43+0800</x:v>
      </x:c>
      <x:c r="H17" s="46" t="str">
        <x:v>supported</x:v>
      </x:c>
      <x:c r="I17" s="45" t="str">
        <x:v>Both parts match the source: useful squeeze interaction and hands having a focus.</x:v>
      </x:c>
      <x:c r="J17" s="45" t="n">
        <x:v>3</x:v>
      </x:c>
      <x:c r="K17" s="45" t="str">
        <x:v>2026-08-09T20:24:24+0800</x:v>
      </x:c>
      <x:c r="L17" s="47" t="str">
        <x:f>IF(D17=H17,"AGREE","DISAGREE")</x:f>
        <x:v>AGREE</x:v>
      </x:c>
    </x:row>
    <x:row r="18" ht="24" hidden="0" customHeight="1">
      <x:c r="A18" s="45" t="str">
        <x:v>SF-003-P02</x:v>
      </x:c>
      <x:c r="B18" s="45" t="str">
        <x:v>SF-003</x:v>
      </x:c>
      <x:c r="C18" s="45" t="str">
        <x:v>Gentle haptics might help the participant pace their breathing.</x:v>
      </x:c>
      <x:c r="D18" s="46" t="str">
        <x:v>supported</x:v>
      </x:c>
      <x:c r="E18" s="45" t="str">
        <x:v>The participant directly says gentle haptics might help them pace their breathing.</x:v>
      </x:c>
      <x:c r="F18" s="45" t="n">
        <x:v>3</x:v>
      </x:c>
      <x:c r="G18" s="45" t="str">
        <x:v>2026-08-09T19:05:25+0800</x:v>
      </x:c>
      <x:c r="H18" s="46" t="str">
        <x:v>supported</x:v>
      </x:c>
      <x:c r="I18" s="45" t="str">
        <x:v>The source retains the same cautious claim about haptics helping breathing pace.</x:v>
      </x:c>
      <x:c r="J18" s="45" t="n">
        <x:v>3</x:v>
      </x:c>
      <x:c r="K18" s="45" t="str">
        <x:v>2026-08-09T20:25:45+0800</x:v>
      </x:c>
      <x:c r="L18" s="47" t="str">
        <x:f>IF(D18=H18,"AGREE","DISAGREE")</x:f>
        <x:v>AGREE</x:v>
      </x:c>
    </x:row>
    <x:row r="19" ht="24" hidden="0" customHeight="1">
      <x:c r="A19" s="45" t="str">
        <x:v>SF-003-P03</x:v>
      </x:c>
      <x:c r="B19" s="45" t="str">
        <x:v>SF-003</x:v>
      </x:c>
      <x:c r="C19" s="45" t="str">
        <x:v>The participant would avoid scent because it could be another trigger.</x:v>
      </x:c>
      <x:c r="D19" s="46" t="str">
        <x:v>supported</x:v>
      </x:c>
      <x:c r="E19" s="45" t="str">
        <x:v>The source says the participant would avoid scent because it could be another trigger.</x:v>
      </x:c>
      <x:c r="F19" s="45" t="n">
        <x:v>3</x:v>
      </x:c>
      <x:c r="G19" s="45" t="str">
        <x:v>2026-08-09T19:07:20+0800</x:v>
      </x:c>
      <x:c r="H19" s="46" t="str">
        <x:v>supported</x:v>
      </x:c>
      <x:c r="I19" s="45" t="str">
        <x:v>Avoiding scent and the trigger reason are both present in the source.</x:v>
      </x:c>
      <x:c r="J19" s="45" t="n">
        <x:v>3</x:v>
      </x:c>
      <x:c r="K19" s="45" t="str">
        <x:v>2026-08-09T20:26:54+0800</x:v>
      </x:c>
      <x:c r="L19" s="47" t="str">
        <x:f>IF(D19=H19,"AGREE","DISAGREE")</x:f>
        <x:v>AGREE</x:v>
      </x:c>
    </x:row>
    <x:row r="20" ht="15" hidden="0" customHeight="1">
      <x:c r="A20" s="45" t="str">
        <x:v>SF-003-P04</x:v>
      </x:c>
      <x:c r="B20" s="45" t="str">
        <x:v>SF-003</x:v>
      </x:c>
      <x:c r="C20" s="45" t="str">
        <x:v>The participant wanted every feature to be optional.</x:v>
      </x:c>
      <x:c r="D20" s="46" t="str">
        <x:v>supported</x:v>
      </x:c>
      <x:c r="E20" s="45" t="str">
        <x:v>The participant explicitly says they would want every feature to be optional.</x:v>
      </x:c>
      <x:c r="F20" s="45" t="n">
        <x:v>3</x:v>
      </x:c>
      <x:c r="G20" s="45" t="str">
        <x:v>2026-08-09T19:08:57+0800</x:v>
      </x:c>
      <x:c r="H20" s="46" t="str">
        <x:v>supported</x:v>
      </x:c>
      <x:c r="I20" s="45" t="str">
        <x:v>The source sets optionality as the participant's preference for every feature.</x:v>
      </x:c>
      <x:c r="J20" s="45" t="n">
        <x:v>3</x:v>
      </x:c>
      <x:c r="K20" s="45" t="str">
        <x:v>2026-08-09T20:28:20+0800</x:v>
      </x:c>
      <x:c r="L20" s="47" t="str">
        <x:f>IF(D20=H20,"AGREE","DISAGREE")</x:f>
        <x:v>AGREE</x:v>
      </x:c>
    </x:row>
    <x:row r="21" ht="15" hidden="0" customHeight="1">
      <x:c r="A21" s="45" t="str">
        <x:v>SF-004-P01</x:v>
      </x:c>
      <x:c r="B21" s="45" t="str">
        <x:v>SF-004</x:v>
      </x:c>
      <x:c r="C21" s="45" t="str">
        <x:v>The participant covered their ears.</x:v>
      </x:c>
      <x:c r="D21" s="46" t="str">
        <x:v>supported</x:v>
      </x:c>
      <x:c r="E21" s="45" t="str">
        <x:v>The source directly reports that the participant covered their ears.</x:v>
      </x:c>
      <x:c r="F21" s="45" t="n">
        <x:v>3</x:v>
      </x:c>
      <x:c r="G21" s="45" t="str">
        <x:v>2026-08-09T19:10:02+0800</x:v>
      </x:c>
      <x:c r="H21" s="46" t="str">
        <x:v>supported</x:v>
      </x:c>
      <x:c r="I21" s="45" t="str">
        <x:v>Exact behaviour is present in the source: covering the ears.</x:v>
      </x:c>
      <x:c r="J21" s="45" t="n">
        <x:v>3</x:v>
      </x:c>
      <x:c r="K21" s="45" t="str">
        <x:v>2026-08-09T20:29:24+0800</x:v>
      </x:c>
      <x:c r="L21" s="47" t="str">
        <x:f>IF(D21=H21,"AGREE","DISAGREE")</x:f>
        <x:v>AGREE</x:v>
      </x:c>
    </x:row>
    <x:row r="22" ht="15" hidden="0" customHeight="1">
      <x:c r="A22" s="45" t="str">
        <x:v>SF-004-P02</x:v>
      </x:c>
      <x:c r="B22" s="45" t="str">
        <x:v>SF-004</x:v>
      </x:c>
      <x:c r="C22" s="45" t="str">
        <x:v>The participant focused on slow breathing.</x:v>
      </x:c>
      <x:c r="D22" s="46" t="str">
        <x:v>supported</x:v>
      </x:c>
      <x:c r="E22" s="45" t="str">
        <x:v>The participant explicitly reports focusing on slow breathing.</x:v>
      </x:c>
      <x:c r="F22" s="45" t="n">
        <x:v>3</x:v>
      </x:c>
      <x:c r="G22" s="45" t="str">
        <x:v>2026-08-09T19:11:18+0800</x:v>
      </x:c>
      <x:c r="H22" s="46" t="str">
        <x:v>supported</x:v>
      </x:c>
      <x:c r="I22" s="45" t="str">
        <x:v>The source includes focusing on slow breathing.</x:v>
      </x:c>
      <x:c r="J22" s="45" t="n">
        <x:v>3</x:v>
      </x:c>
      <x:c r="K22" s="45" t="str">
        <x:v>2026-08-09T20:30:35+0800</x:v>
      </x:c>
      <x:c r="L22" s="47" t="str">
        <x:f>IF(D22=H22,"AGREE","DISAGREE")</x:f>
        <x:v>AGREE</x:v>
      </x:c>
    </x:row>
    <x:row r="23" ht="15" hidden="0" customHeight="1">
      <x:c r="A23" s="45" t="str">
        <x:v>SF-004-P03</x:v>
      </x:c>
      <x:c r="B23" s="45" t="str">
        <x:v>SF-004</x:v>
      </x:c>
      <x:c r="C23" s="45" t="str">
        <x:v>The participant left at the next stop.</x:v>
      </x:c>
      <x:c r="D23" s="46" t="str">
        <x:v>supported</x:v>
      </x:c>
      <x:c r="E23" s="45" t="str">
        <x:v>The source states that the participant left at the next stop.</x:v>
      </x:c>
      <x:c r="F23" s="45" t="n">
        <x:v>3</x:v>
      </x:c>
      <x:c r="G23" s="45" t="str">
        <x:v>2026-08-09T19:12:45+0800</x:v>
      </x:c>
      <x:c r="H23" s="46" t="str">
        <x:v>supported</x:v>
      </x:c>
      <x:c r="I23" s="45" t="str">
        <x:v>The source includes leaving at the next stop.</x:v>
      </x:c>
      <x:c r="J23" s="45" t="n">
        <x:v>3</x:v>
      </x:c>
      <x:c r="K23" s="45" t="str">
        <x:v>2026-08-09T20:31:29+0800</x:v>
      </x:c>
      <x:c r="L23" s="47" t="str">
        <x:f>IF(D23=H23,"AGREE","DISAGREE")</x:f>
        <x:v>AGREE</x:v>
      </x:c>
    </x:row>
    <x:row r="24" ht="24" hidden="0" customHeight="1">
      <x:c r="A24" s="45" t="str">
        <x:v>SF-004-P04</x:v>
      </x:c>
      <x:c r="B24" s="45" t="str">
        <x:v>SF-004</x:v>
      </x:c>
      <x:c r="C24" s="45" t="str">
        <x:v>A quieter carriage would have helped the participant.</x:v>
      </x:c>
      <x:c r="D24" s="46" t="str">
        <x:v>supported</x:v>
      </x:c>
      <x:c r="E24" s="45" t="str">
        <x:v>A quieter carriage is directly identified by the participant as something that would have helped.</x:v>
      </x:c>
      <x:c r="F24" s="45" t="n">
        <x:v>3</x:v>
      </x:c>
      <x:c r="G24" s="45" t="str">
        <x:v>2026-08-09T19:13:54+0800</x:v>
      </x:c>
      <x:c r="H24" s="46" t="str">
        <x:v>supported</x:v>
      </x:c>
      <x:c r="I24" s="45" t="str">
        <x:v>Quieter carriage appears in the source as a helpful change.</x:v>
      </x:c>
      <x:c r="J24" s="45" t="n">
        <x:v>3</x:v>
      </x:c>
      <x:c r="K24" s="45" t="str">
        <x:v>2026-08-09T20:32:30+0800</x:v>
      </x:c>
      <x:c r="L24" s="47" t="str">
        <x:f>IF(D24=H24,"AGREE","DISAGREE")</x:f>
        <x:v>AGREE</x:v>
      </x:c>
    </x:row>
    <x:row r="25" ht="24" hidden="0" customHeight="1">
      <x:c r="A25" s="45" t="str">
        <x:v>SF-004-P05</x:v>
      </x:c>
      <x:c r="B25" s="45" t="str">
        <x:v>SF-004</x:v>
      </x:c>
      <x:c r="C25" s="45" t="str">
        <x:v>A warning before the alarm would have helped the participant.</x:v>
      </x:c>
      <x:c r="D25" s="46" t="str">
        <x:v>supported</x:v>
      </x:c>
      <x:c r="E25" s="45" t="str">
        <x:v>The participant directly identifies a warning before the alarm as something that would have helped.</x:v>
      </x:c>
      <x:c r="F25" s="45" t="n">
        <x:v>3</x:v>
      </x:c>
      <x:c r="G25" s="45" t="str">
        <x:v>2026-08-09T19:15:14+0800</x:v>
      </x:c>
      <x:c r="H25" s="46" t="str">
        <x:v>supported</x:v>
      </x:c>
      <x:c r="I25" s="45" t="str">
        <x:v>Warning before the alarm appears in the source as a helpful change.</x:v>
      </x:c>
      <x:c r="J25" s="45" t="n">
        <x:v>3</x:v>
      </x:c>
      <x:c r="K25" s="45" t="str">
        <x:v>2026-08-09T20:33:38+0800</x:v>
      </x:c>
      <x:c r="L25" s="47" t="str">
        <x:f>IF(D25=H25,"AGREE","DISAGREE")</x:f>
        <x:v>AGREE</x:v>
      </x:c>
    </x:row>
    <x:row r="26" ht="24" hidden="0" customHeight="1">
      <x:c r="A26" s="45" t="str">
        <x:v>SF-004-P06</x:v>
      </x:c>
      <x:c r="B26" s="45" t="str">
        <x:v>SF-004</x:v>
      </x:c>
      <x:c r="C26" s="45" t="str">
        <x:v>The repeated announcements did not help because they added more noise.</x:v>
      </x:c>
      <x:c r="D26" s="46" t="str">
        <x:v>supported</x:v>
      </x:c>
      <x:c r="E26" s="45" t="str">
        <x:v>The participant explicitly says the repeated announcements did not help because they added more noise.</x:v>
      </x:c>
      <x:c r="F26" s="45" t="n">
        <x:v>3</x:v>
      </x:c>
      <x:c r="G26" s="45" t="str">
        <x:v>2026-08-09T19:16:45+0800</x:v>
      </x:c>
      <x:c r="H26" s="46" t="str">
        <x:v>supported</x:v>
      </x:c>
      <x:c r="I26" s="45" t="str">
        <x:v>The source gives the same negative outcome and reason: more noise from repeated announcements.</x:v>
      </x:c>
      <x:c r="J26" s="45" t="n">
        <x:v>3</x:v>
      </x:c>
      <x:c r="K26" s="45" t="str">
        <x:v>2026-08-09T20:34:29+0800</x:v>
      </x:c>
      <x:c r="L26" s="47" t="str">
        <x:f>IF(D26=H26,"AGREE","DISAGREE")</x:f>
        <x:v>AGREE</x:v>
      </x:c>
    </x:row>
    <x:row r="27" ht="24" hidden="0" customHeight="1">
      <x:c r="A27" s="45" t="str">
        <x:v>SF-005-P01</x:v>
      </x:c>
      <x:c r="B27" s="45" t="str">
        <x:v>SF-005</x:v>
      </x:c>
      <x:c r="C27" s="45" t="str">
        <x:v>Sharp braking noise was one of the participant's strongest triggers.</x:v>
      </x:c>
      <x:c r="D27" s="46" t="str">
        <x:v>supported</x:v>
      </x:c>
      <x:c r="E27" s="45" t="str">
        <x:v>Sharp braking noise is directly included in the source as one of the strongest triggers.</x:v>
      </x:c>
      <x:c r="F27" s="45" t="n">
        <x:v>3</x:v>
      </x:c>
      <x:c r="G27" s="45" t="str">
        <x:v>2026-08-09T19:17:58+0800</x:v>
      </x:c>
      <x:c r="H27" s="46" t="str">
        <x:v>supported</x:v>
      </x:c>
      <x:c r="I27" s="45" t="str">
        <x:v>The trigger list explicitly contains sharp braking noise.</x:v>
      </x:c>
      <x:c r="J27" s="45" t="n">
        <x:v>3</x:v>
      </x:c>
      <x:c r="K27" s="45" t="str">
        <x:v>2026-08-09T20:35:27+0800</x:v>
      </x:c>
      <x:c r="L27" s="47" t="str">
        <x:f>IF(D27=H27,"AGREE","DISAGREE")</x:f>
        <x:v>AGREE</x:v>
      </x:c>
    </x:row>
    <x:row r="28" ht="24" hidden="0" customHeight="1">
      <x:c r="A28" s="45" t="str">
        <x:v>SF-005-P02</x:v>
      </x:c>
      <x:c r="B28" s="45" t="str">
        <x:v>SF-005</x:v>
      </x:c>
      <x:c r="C28" s="45" t="str">
        <x:v>Flashing carriage lights were one of the participant's strongest triggers.</x:v>
      </x:c>
      <x:c r="D28" s="46" t="str">
        <x:v>supported</x:v>
      </x:c>
      <x:c r="E28" s="45" t="str">
        <x:v>The participant directly identifies flashing carriage lights as one of the strongest triggers.</x:v>
      </x:c>
      <x:c r="F28" s="45" t="n">
        <x:v>3</x:v>
      </x:c>
      <x:c r="G28" s="45" t="str">
        <x:v>2026-08-09T19:19:22+0800</x:v>
      </x:c>
      <x:c r="H28" s="46" t="str">
        <x:v>supported</x:v>
      </x:c>
      <x:c r="I28" s="45" t="str">
        <x:v>The trigger list explicitly contains flashing carriage lights.</x:v>
      </x:c>
      <x:c r="J28" s="45" t="n">
        <x:v>3</x:v>
      </x:c>
      <x:c r="K28" s="45" t="str">
        <x:v>2026-08-09T20:36:32+0800</x:v>
      </x:c>
      <x:c r="L28" s="47" t="str">
        <x:f>IF(D28=H28,"AGREE","DISAGREE")</x:f>
        <x:v>AGREE</x:v>
      </x:c>
    </x:row>
    <x:row r="29" ht="15" hidden="0" customHeight="1">
      <x:c r="A29" s="45" t="str">
        <x:v>SF-005-P03</x:v>
      </x:c>
      <x:c r="B29" s="45" t="str">
        <x:v>SF-005</x:v>
      </x:c>
      <x:c r="C29" s="45" t="str">
        <x:v>Crowding was one of the participant's strongest triggers.</x:v>
      </x:c>
      <x:c r="D29" s="46" t="str">
        <x:v>supported</x:v>
      </x:c>
      <x:c r="E29" s="45" t="str">
        <x:v>The source explicitly includes crowding among the strongest triggers.</x:v>
      </x:c>
      <x:c r="F29" s="45" t="n">
        <x:v>3</x:v>
      </x:c>
      <x:c r="G29" s="45" t="str">
        <x:v>2026-08-09T19:20:28+0800</x:v>
      </x:c>
      <x:c r="H29" s="46" t="str">
        <x:v>supported</x:v>
      </x:c>
      <x:c r="I29" s="45" t="str">
        <x:v>The trigger list explicitly contains crowding.</x:v>
      </x:c>
      <x:c r="J29" s="45" t="n">
        <x:v>3</x:v>
      </x:c>
      <x:c r="K29" s="45" t="str">
        <x:v>2026-08-09T20:37:20+0800</x:v>
      </x:c>
      <x:c r="L29" s="47" t="str">
        <x:f>IF(D29=H29,"AGREE","DISAGREE")</x:f>
        <x:v>AGREE</x:v>
      </x:c>
    </x:row>
    <x:row r="30" ht="15" hidden="0" customHeight="1">
      <x:c r="A30" s="45" t="str">
        <x:v>SF-005-P04</x:v>
      </x:c>
      <x:c r="B30" s="45" t="str">
        <x:v>SF-005</x:v>
      </x:c>
      <x:c r="C30" s="45" t="str">
        <x:v>The participant's shoulders tightened.</x:v>
      </x:c>
      <x:c r="D30" s="46" t="str">
        <x:v>supported</x:v>
      </x:c>
      <x:c r="E30" s="45" t="str">
        <x:v>The participant states that their shoulders tightened.</x:v>
      </x:c>
      <x:c r="F30" s="45" t="n">
        <x:v>3</x:v>
      </x:c>
      <x:c r="G30" s="45" t="str">
        <x:v>2026-08-09T19:21:45+0800</x:v>
      </x:c>
      <x:c r="H30" s="46" t="str">
        <x:v>supported</x:v>
      </x:c>
      <x:c r="I30" s="45" t="str">
        <x:v>The bodily response “shoulders tightened” is stated.</x:v>
      </x:c>
      <x:c r="J30" s="45" t="n">
        <x:v>3</x:v>
      </x:c>
      <x:c r="K30" s="45" t="str">
        <x:v>2026-08-09T20:38:15+0800</x:v>
      </x:c>
      <x:c r="L30" s="47" t="str">
        <x:f>IF(D30=H30,"AGREE","DISAGREE")</x:f>
        <x:v>AGREE</x:v>
      </x:c>
    </x:row>
    <x:row r="31" ht="15" hidden="0" customHeight="1">
      <x:c r="A31" s="45" t="str">
        <x:v>SF-005-P05</x:v>
      </x:c>
      <x:c r="B31" s="45" t="str">
        <x:v>SF-005</x:v>
      </x:c>
      <x:c r="C31" s="45" t="str">
        <x:v>The participant's heart raced.</x:v>
      </x:c>
      <x:c r="D31" s="46" t="str">
        <x:v>supported</x:v>
      </x:c>
      <x:c r="E31" s="45" t="str">
        <x:v>The source directly states that the participant's heart raced.</x:v>
      </x:c>
      <x:c r="F31" s="45" t="n">
        <x:v>3</x:v>
      </x:c>
      <x:c r="G31" s="45" t="str">
        <x:v>2026-08-09T19:23:13+0800</x:v>
      </x:c>
      <x:c r="H31" s="46" t="str">
        <x:v>supported</x:v>
      </x:c>
      <x:c r="I31" s="45" t="str">
        <x:v>The bodily response “heart raced” is stated.</x:v>
      </x:c>
      <x:c r="J31" s="45" t="n">
        <x:v>3</x:v>
      </x:c>
      <x:c r="K31" s="45" t="str">
        <x:v>2026-08-09T20:39:17+0800</x:v>
      </x:c>
      <x:c r="L31" s="47" t="str">
        <x:f>IF(D31=H31,"AGREE","DISAGREE")</x:f>
        <x:v>AGREE</x:v>
      </x:c>
    </x:row>
    <x:row r="32" ht="15" hidden="0" customHeight="1">
      <x:c r="A32" s="45" t="str">
        <x:v>SF-005-P06</x:v>
      </x:c>
      <x:c r="B32" s="45" t="str">
        <x:v>SF-005</x:v>
      </x:c>
      <x:c r="C32" s="45" t="str">
        <x:v>The participant felt panicked.</x:v>
      </x:c>
      <x:c r="D32" s="46" t="str">
        <x:v>supported</x:v>
      </x:c>
      <x:c r="E32" s="45" t="str">
        <x:v>The participant directly reports feeling panicked.</x:v>
      </x:c>
      <x:c r="F32" s="45" t="n">
        <x:v>3</x:v>
      </x:c>
      <x:c r="G32" s="45" t="str">
        <x:v>2026-08-09T19:24:23+0800</x:v>
      </x:c>
      <x:c r="H32" s="46" t="str">
        <x:v>supported</x:v>
      </x:c>
      <x:c r="I32" s="45" t="str">
        <x:v>The emotional response “felt panicked” is stated.</x:v>
      </x:c>
      <x:c r="J32" s="45" t="n">
        <x:v>3</x:v>
      </x:c>
      <x:c r="K32" s="45" t="str">
        <x:v>2026-08-09T20:40:26+0800</x:v>
      </x:c>
      <x:c r="L32" s="47" t="str">
        <x:f>IF(D32=H32,"AGREE","DISAGREE")</x:f>
        <x:v>AGREE</x:v>
      </x:c>
    </x:row>
    <x:row r="33" ht="24" hidden="0" customHeight="1">
      <x:c r="A33" s="45" t="str">
        <x:v>SF-006-P01</x:v>
      </x:c>
      <x:c r="B33" s="45" t="str">
        <x:v>SF-006</x:v>
      </x:c>
      <x:c r="C33" s="45" t="str">
        <x:v>The squeeze interaction seemed useful because it would give the participant's hands a focus.</x:v>
      </x:c>
      <x:c r="D33" s="46" t="str">
        <x:v>supported</x:v>
      </x:c>
      <x:c r="E33" s="45" t="str">
        <x:v>The participant says the squeeze interaction seemed useful because it would give their hands a focus.</x:v>
      </x:c>
      <x:c r="F33" s="45" t="n">
        <x:v>3</x:v>
      </x:c>
      <x:c r="G33" s="45" t="str">
        <x:v>2026-08-09T19:26:14+0800</x:v>
      </x:c>
      <x:c r="H33" s="46" t="str">
        <x:v>supported</x:v>
      </x:c>
      <x:c r="I33" s="45" t="str">
        <x:v>Source wording preserves both the usefulness judgement and the hands-focus reason.</x:v>
      </x:c>
      <x:c r="J33" s="45" t="n">
        <x:v>3</x:v>
      </x:c>
      <x:c r="K33" s="45" t="str">
        <x:v>2026-08-09T20:41:41+0800</x:v>
      </x:c>
      <x:c r="L33" s="47" t="str">
        <x:f>IF(D33=H33,"AGREE","DISAGREE")</x:f>
        <x:v>AGREE</x:v>
      </x:c>
    </x:row>
    <x:row r="34" ht="24" hidden="0" customHeight="1">
      <x:c r="A34" s="45" t="str">
        <x:v>SF-006-P02</x:v>
      </x:c>
      <x:c r="B34" s="45" t="str">
        <x:v>SF-006</x:v>
      </x:c>
      <x:c r="C34" s="45" t="str">
        <x:v>Gentle haptics might help the participant pace their breathing.</x:v>
      </x:c>
      <x:c r="D34" s="46" t="str">
        <x:v>supported</x:v>
      </x:c>
      <x:c r="E34" s="45" t="str">
        <x:v>The source directly supports the modal claim that gentle haptics might help pace the participant's breathing.</x:v>
      </x:c>
      <x:c r="F34" s="45" t="n">
        <x:v>3</x:v>
      </x:c>
      <x:c r="G34" s="45" t="str">
        <x:v>2026-08-09T19:27:47+0800</x:v>
      </x:c>
      <x:c r="H34" s="46" t="str">
        <x:v>supported</x:v>
      </x:c>
      <x:c r="I34" s="45" t="str">
        <x:v>Source wording supports the same tentative benefit for breathing pace.</x:v>
      </x:c>
      <x:c r="J34" s="45" t="n">
        <x:v>3</x:v>
      </x:c>
      <x:c r="K34" s="45" t="str">
        <x:v>2026-08-09T20:42:44+0800</x:v>
      </x:c>
      <x:c r="L34" s="47" t="str">
        <x:f>IF(D34=H34,"AGREE","DISAGREE")</x:f>
        <x:v>AGREE</x:v>
      </x:c>
    </x:row>
    <x:row r="35" ht="24" hidden="0" customHeight="1">
      <x:c r="A35" s="45" t="str">
        <x:v>SF-006-P03</x:v>
      </x:c>
      <x:c r="B35" s="45" t="str">
        <x:v>SF-006</x:v>
      </x:c>
      <x:c r="C35" s="45" t="str">
        <x:v>The participant would avoid scent because it could be another trigger.</x:v>
      </x:c>
      <x:c r="D35" s="46" t="str">
        <x:v>supported</x:v>
      </x:c>
      <x:c r="E35" s="45" t="str">
        <x:v>The participant explicitly says they would avoid scent because it could be another trigger.</x:v>
      </x:c>
      <x:c r="F35" s="45" t="n">
        <x:v>3</x:v>
      </x:c>
      <x:c r="G35" s="45" t="str">
        <x:v>2026-08-09T19:29:33+0800</x:v>
      </x:c>
      <x:c r="H35" s="46" t="str">
        <x:v>supported</x:v>
      </x:c>
      <x:c r="I35" s="45" t="str">
        <x:v>Source wording preserves both scent avoidance and the possible-trigger reason.</x:v>
      </x:c>
      <x:c r="J35" s="45" t="n">
        <x:v>3</x:v>
      </x:c>
      <x:c r="K35" s="45" t="str">
        <x:v>2026-08-09T20:44:04+0800</x:v>
      </x:c>
      <x:c r="L35" s="47" t="str">
        <x:f>IF(D35=H35,"AGREE","DISAGREE")</x:f>
        <x:v>AGREE</x:v>
      </x:c>
    </x:row>
    <x:row r="36" ht="24" hidden="0" customHeight="1">
      <x:c r="A36" s="45" t="str">
        <x:v>SF-006-P04</x:v>
      </x:c>
      <x:c r="B36" s="45" t="str">
        <x:v>SF-006</x:v>
      </x:c>
      <x:c r="C36" s="45" t="str">
        <x:v>The participant wanted every feature to be optional.</x:v>
      </x:c>
      <x:c r="D36" s="46" t="str">
        <x:v>supported</x:v>
      </x:c>
      <x:c r="E36" s="45" t="str">
        <x:v>The source directly states the participant's preference for every feature to be optional.</x:v>
      </x:c>
      <x:c r="F36" s="45" t="n">
        <x:v>3</x:v>
      </x:c>
      <x:c r="G36" s="45" t="str">
        <x:v>2026-08-09T19:31:01+0800</x:v>
      </x:c>
      <x:c r="H36" s="46" t="str">
        <x:v>supported</x:v>
      </x:c>
      <x:c r="I36" s="45" t="str">
        <x:v>Every feature being optional is directly required by the participant.</x:v>
      </x:c>
      <x:c r="J36" s="45" t="n">
        <x:v>3</x:v>
      </x:c>
      <x:c r="K36" s="45" t="str">
        <x:v>2026-08-09T20:45:12+0800</x:v>
      </x:c>
      <x:c r="L36" s="47" t="str">
        <x:f>IF(D36=H36,"AGREE","DISAGREE")</x:f>
        <x:v>AGREE</x:v>
      </x:c>
    </x:row>
    <x:row r="37" ht="24" hidden="0" customHeight="1">
      <x:c r="A37" s="45" t="str">
        <x:v>SF-007-P01</x:v>
      </x:c>
      <x:c r="B37" s="45" t="str">
        <x:v>SF-007</x:v>
      </x:c>
      <x:c r="C37" s="45" t="str">
        <x:v>The participant might use the referenced item ("it") while commuting if it looked discreet and made no sound.</x:v>
      </x:c>
      <x:c r="D37" s="46" t="str">
        <x:v>supported</x:v>
      </x:c>
      <x:c r="E37" s="45" t="str">
        <x:v>The source directly gives this conditional use statement: the participant might use it while commuting if it were discreet and silent.</x:v>
      </x:c>
      <x:c r="F37" s="45" t="n">
        <x:v>3</x:v>
      </x:c>
      <x:c r="G37" s="45" t="str">
        <x:v>2026-08-09T19:32:42+0800</x:v>
      </x:c>
      <x:c r="H37" s="46" t="str">
        <x:v>supported</x:v>
      </x:c>
      <x:c r="I37" s="45" t="str">
        <x:v>The commuting-use condition matches: discreet appearance plus no sound.</x:v>
      </x:c>
      <x:c r="J37" s="45" t="n">
        <x:v>3</x:v>
      </x:c>
      <x:c r="K37" s="45" t="str">
        <x:v>2026-08-09T20:46:37+0800</x:v>
      </x:c>
      <x:c r="L37" s="47" t="str">
        <x:f>IF(D37=H37,"AGREE","DISAGREE")</x:f>
        <x:v>AGREE</x:v>
      </x:c>
    </x:row>
    <x:row r="38" ht="15" hidden="0" customHeight="1">
      <x:c r="A38" s="45" t="str">
        <x:v>SF-007-P02</x:v>
      </x:c>
      <x:c r="B38" s="45" t="str">
        <x:v>SF-007</x:v>
      </x:c>
      <x:c r="C38" s="45" t="str">
        <x:v>Obvious lights would embarrass the participant.</x:v>
      </x:c>
      <x:c r="D38" s="46" t="str">
        <x:v>supported</x:v>
      </x:c>
      <x:c r="E38" s="45" t="str">
        <x:v>The participant explicitly says obvious lights would be embarrassing.</x:v>
      </x:c>
      <x:c r="F38" s="45" t="n">
        <x:v>3</x:v>
      </x:c>
      <x:c r="G38" s="45" t="str">
        <x:v>2026-08-09T19:34:36+0800</x:v>
      </x:c>
      <x:c r="H38" s="46" t="str">
        <x:v>supported</x:v>
      </x:c>
      <x:c r="I38" s="45" t="str">
        <x:v>The source ties obvious lights directly to embarrassment.</x:v>
      </x:c>
      <x:c r="J38" s="45" t="n">
        <x:v>3</x:v>
      </x:c>
      <x:c r="K38" s="45" t="str">
        <x:v>2026-08-09T20:47:50+0800</x:v>
      </x:c>
      <x:c r="L38" s="47" t="str">
        <x:f>IF(D38=H38,"AGREE","DISAGREE")</x:f>
        <x:v>AGREE</x:v>
      </x:c>
    </x:row>
    <x:row r="39" ht="24" hidden="0" customHeight="1">
      <x:c r="A39" s="45" t="str">
        <x:v>SF-007-P03</x:v>
      </x:c>
      <x:c r="B39" s="45" t="str">
        <x:v>SF-007</x:v>
      </x:c>
      <x:c r="C39" s="45" t="str">
        <x:v>Scent would be a concern for people nearby in a shared space.</x:v>
      </x:c>
      <x:c r="D39" s="46" t="str">
        <x:v>supported</x:v>
      </x:c>
      <x:c r="E39" s="45" t="str">
        <x:v>The source directly states that scent would concern the participant because of people nearby in a shared space.</x:v>
      </x:c>
      <x:c r="F39" s="45" t="n">
        <x:v>3</x:v>
      </x:c>
      <x:c r="G39" s="45" t="str">
        <x:v>2026-08-09T19:36:12+0800</x:v>
      </x:c>
      <x:c r="H39" s="46" t="str">
        <x:v>supported</x:v>
      </x:c>
      <x:c r="I39" s="45" t="str">
        <x:v>The source ties scent directly to concern about nearby people in shared space.</x:v>
      </x:c>
      <x:c r="J39" s="45" t="n">
        <x:v>3</x:v>
      </x:c>
      <x:c r="K39" s="45" t="str">
        <x:v>2026-08-09T20:49:20+0800</x:v>
      </x:c>
      <x:c r="L39" s="47" t="str">
        <x:f>IF(D39=H39,"AGREE","DISAGREE")</x:f>
        <x:v>AGREE</x:v>
      </x:c>
    </x:row>
    <x:row r="40" ht="24" hidden="0" customHeight="1">
      <x:c r="A40" s="45" t="str">
        <x:v>SF-008-P01</x:v>
      </x:c>
      <x:c r="B40" s="45" t="str">
        <x:v>SF-008</x:v>
      </x:c>
      <x:c r="C40" s="45" t="str">
        <x:v>The described experience occurred on a crowded train.</x:v>
      </x:c>
      <x:c r="D40" s="46" t="str">
        <x:v>supported</x:v>
      </x:c>
      <x:c r="E40" s="45" t="str">
        <x:v>The participant source explicitly begins with the experience occurring on a crowded train.</x:v>
      </x:c>
      <x:c r="F40" s="45" t="n">
        <x:v>3</x:v>
      </x:c>
      <x:c r="G40" s="45" t="str">
        <x:v>2026-08-09T19:37:47+0800</x:v>
      </x:c>
      <x:c r="H40" s="46" t="str">
        <x:v>supported</x:v>
      </x:c>
      <x:c r="I40" s="45" t="str">
        <x:v>Location/context matches the source: the event is on a crowded train.</x:v>
      </x:c>
      <x:c r="J40" s="45" t="n">
        <x:v>3</x:v>
      </x:c>
      <x:c r="K40" s="45" t="str">
        <x:v>2026-08-09T20:50:34+0800</x:v>
      </x:c>
      <x:c r="L40" s="47" t="str">
        <x:f>IF(D40=H40,"AGREE","DISAGREE")</x:f>
        <x:v>AGREE</x:v>
      </x:c>
    </x:row>
    <x:row r="41" ht="48" hidden="0" customHeight="1">
      <x:c r="A41" s="45" t="str">
        <x:v>SF-008-P02</x:v>
      </x:c>
      <x:c r="B41" s="45" t="str">
        <x:v>SF-008</x:v>
      </x:c>
      <x:c r="C41" s="45" t="str">
        <x:v>The participant described the experience as sensory overload.</x:v>
      </x:c>
      <x:c r="D41" s="46" t="str">
        <x:v>unsupported</x:v>
      </x:c>
      <x:c r="E41" s="45" t="str">
        <x:v>The source describes feeling trapped and overwhelmed but does not state or clearly establish the category 'sensory overload'. I would not treat that interpretive label as source-supported.</x:v>
      </x:c>
      <x:c r="F41" s="45" t="n">
        <x:v>3</x:v>
      </x:c>
      <x:c r="G41" s="45" t="str">
        <x:v>2026-08-09T19:40:45+0800</x:v>
      </x:c>
      <x:c r="H41" s="46" t="str">
        <x:v>supported</x:v>
      </x:c>
      <x:c r="I41" s="45" t="str">
        <x:v>The source does not use the term 'sensory overload', but it describes alarms, noise and crowding together with feeling trapped and overwhelmed. I read the proposition as a concise description of that experience rather than as a separate factual claim.</x:v>
      </x:c>
      <x:c r="J41" s="45" t="n">
        <x:v>2</x:v>
      </x:c>
      <x:c r="K41" s="45" t="str">
        <x:v>2026-08-09T20:53:05+0800</x:v>
      </x:c>
      <x:c r="L41" s="47" t="str">
        <x:f>IF(D41=H41,"AGREE","DISAGREE")</x:f>
        <x:v>DISAGREE</x:v>
      </x:c>
    </x:row>
    <x:row r="42" ht="24" hidden="0" customHeight="1">
      <x:c r="A42" s="45" t="str">
        <x:v>SF-008-P03</x:v>
      </x:c>
      <x:c r="B42" s="45" t="str">
        <x:v>SF-008</x:v>
      </x:c>
      <x:c r="C42" s="45" t="str">
        <x:v>Alarms made the participant feel trapped.</x:v>
      </x:c>
      <x:c r="D42" s="46" t="str">
        <x:v>unsupported</x:v>
      </x:c>
      <x:c r="E42" s="45" t="str">
        <x:v>The alarms are only reported as sounding; the causal clause attributes feeling trapped to noise and crowding.</x:v>
      </x:c>
      <x:c r="F42" s="45" t="n">
        <x:v>3</x:v>
      </x:c>
      <x:c r="G42" s="45" t="str">
        <x:v>2026-08-09T19:43:19+0800</x:v>
      </x:c>
      <x:c r="H42" s="46" t="str">
        <x:v>unsupported</x:v>
      </x:c>
      <x:c r="I42" s="45" t="str">
        <x:v>Alarm sounding is only concurrent context. The causal wording names noise and crowding instead.</x:v>
      </x:c>
      <x:c r="J42" s="45" t="n">
        <x:v>3</x:v>
      </x:c>
      <x:c r="K42" s="45" t="str">
        <x:v>2026-08-09T20:55:13+0800</x:v>
      </x:c>
      <x:c r="L42" s="47" t="str">
        <x:f>IF(D42=H42,"AGREE","DISAGREE")</x:f>
        <x:v>AGREE</x:v>
      </x:c>
    </x:row>
    <x:row r="43" ht="24" hidden="0" customHeight="1">
      <x:c r="A43" s="45" t="str">
        <x:v>SF-008-P04</x:v>
      </x:c>
      <x:c r="B43" s="45" t="str">
        <x:v>SF-008</x:v>
      </x:c>
      <x:c r="C43" s="45" t="str">
        <x:v>Noise made the participant feel trapped.</x:v>
      </x:c>
      <x:c r="D43" s="46" t="str">
        <x:v>supported</x:v>
      </x:c>
      <x:c r="E43" s="45" t="str">
        <x:v>The source explicitly identifies noise as part of what made the participant feel trapped.</x:v>
      </x:c>
      <x:c r="F43" s="45" t="n">
        <x:v>2</x:v>
      </x:c>
      <x:c r="G43" s="45" t="str">
        <x:v>2026-08-09T19:45:25+0800</x:v>
      </x:c>
      <x:c r="H43" s="46" t="str">
        <x:v>supported</x:v>
      </x:c>
      <x:c r="I43" s="45" t="str">
        <x:v>Noise appears inside the source's causal statement for feeling trapped.</x:v>
      </x:c>
      <x:c r="J43" s="45" t="n">
        <x:v>3</x:v>
      </x:c>
      <x:c r="K43" s="45" t="str">
        <x:v>2026-08-09T20:57:04+0800</x:v>
      </x:c>
      <x:c r="L43" s="47" t="str">
        <x:f>IF(D43=H43,"AGREE","DISAGREE")</x:f>
        <x:v>AGREE</x:v>
      </x:c>
    </x:row>
    <x:row r="44" ht="24" hidden="0" customHeight="1">
      <x:c r="A44" s="45" t="str">
        <x:v>SF-008-P05</x:v>
      </x:c>
      <x:c r="B44" s="45" t="str">
        <x:v>SF-008</x:v>
      </x:c>
      <x:c r="C44" s="45" t="str">
        <x:v>Crowding made the participant feel trapped.</x:v>
      </x:c>
      <x:c r="D44" s="46" t="str">
        <x:v>supported</x:v>
      </x:c>
      <x:c r="E44" s="45" t="str">
        <x:v>Crowding is explicitly identified in the causal phrase describing what made the participant feel trapped.</x:v>
      </x:c>
      <x:c r="F44" s="45" t="n">
        <x:v>2</x:v>
      </x:c>
      <x:c r="G44" s="45" t="str">
        <x:v>2026-08-09T19:47:26+0800</x:v>
      </x:c>
      <x:c r="H44" s="46" t="str">
        <x:v>supported</x:v>
      </x:c>
      <x:c r="I44" s="45" t="str">
        <x:v>Crowding appears inside the source's causal statement for feeling trapped.</x:v>
      </x:c>
      <x:c r="J44" s="45" t="n">
        <x:v>3</x:v>
      </x:c>
      <x:c r="K44" s="45" t="str">
        <x:v>2026-08-09T20:58:50+0800</x:v>
      </x:c>
      <x:c r="L44" s="47" t="str">
        <x:f>IF(D44=H44,"AGREE","DISAGREE")</x:f>
        <x:v>AGREE</x:v>
      </x:c>
    </x:row>
    <x:row r="45" ht="24" hidden="0" customHeight="1">
      <x:c r="A45" s="45" t="str">
        <x:v>SF-008-P06</x:v>
      </x:c>
      <x:c r="B45" s="45" t="str">
        <x:v>SF-008</x:v>
      </x:c>
      <x:c r="C45" s="45" t="str">
        <x:v>Alarms made the participant feel overwhelmed.</x:v>
      </x:c>
      <x:c r="D45" s="46" t="str">
        <x:v>unsupported</x:v>
      </x:c>
      <x:c r="E45" s="45" t="str">
        <x:v>The source says alarms sounded, but it does not attribute the participant's feeling overwhelmed to the alarms.</x:v>
      </x:c>
      <x:c r="F45" s="45" t="n">
        <x:v>3</x:v>
      </x:c>
      <x:c r="G45" s="45" t="str">
        <x:v>2026-08-09T19:50:06+0800</x:v>
      </x:c>
      <x:c r="H45" s="46" t="str">
        <x:v>unsupported</x:v>
      </x:c>
      <x:c r="I45" s="45" t="str">
        <x:v>Alarm sounding is concurrent context, not a stated cause of feeling overwhelmed.</x:v>
      </x:c>
      <x:c r="J45" s="45" t="n">
        <x:v>3</x:v>
      </x:c>
      <x:c r="K45" s="45" t="str">
        <x:v>2026-08-09T21:01:07+0800</x:v>
      </x:c>
      <x:c r="L45" s="47" t="str">
        <x:f>IF(D45=H45,"AGREE","DISAGREE")</x:f>
        <x:v>AGREE</x:v>
      </x:c>
    </x:row>
    <x:row r="46" ht="24" hidden="0" customHeight="1">
      <x:c r="A46" s="45" t="str">
        <x:v>SF-008-P07</x:v>
      </x:c>
      <x:c r="B46" s="45" t="str">
        <x:v>SF-008</x:v>
      </x:c>
      <x:c r="C46" s="45" t="str">
        <x:v>Noise made the participant feel overwhelmed.</x:v>
      </x:c>
      <x:c r="D46" s="46" t="str">
        <x:v>supported</x:v>
      </x:c>
      <x:c r="E46" s="45" t="str">
        <x:v>Noise is explicitly named as part of what made the participant feel overwhelmed.</x:v>
      </x:c>
      <x:c r="F46" s="45" t="n">
        <x:v>2</x:v>
      </x:c>
      <x:c r="G46" s="45" t="str">
        <x:v>2026-08-09T19:52:04+0800</x:v>
      </x:c>
      <x:c r="H46" s="46" t="str">
        <x:v>supported</x:v>
      </x:c>
      <x:c r="I46" s="45" t="str">
        <x:v>Noise appears inside the source's causal statement for feeling overwhelmed.</x:v>
      </x:c>
      <x:c r="J46" s="45" t="n">
        <x:v>3</x:v>
      </x:c>
      <x:c r="K46" s="45" t="str">
        <x:v>2026-08-09T21:02:49+0800</x:v>
      </x:c>
      <x:c r="L46" s="47" t="str">
        <x:f>IF(D46=H46,"AGREE","DISAGREE")</x:f>
        <x:v>AGREE</x:v>
      </x:c>
    </x:row>
    <x:row r="47" ht="24" hidden="0" customHeight="1">
      <x:c r="A47" s="45" t="str">
        <x:v>SF-008-P08</x:v>
      </x:c>
      <x:c r="B47" s="45" t="str">
        <x:v>SF-008</x:v>
      </x:c>
      <x:c r="C47" s="45" t="str">
        <x:v>Crowding made the participant feel overwhelmed.</x:v>
      </x:c>
      <x:c r="D47" s="46" t="str">
        <x:v>supported</x:v>
      </x:c>
      <x:c r="E47" s="45" t="str">
        <x:v>Crowding is explicitly named as part of what made the participant feel overwhelmed.</x:v>
      </x:c>
      <x:c r="F47" s="45" t="n">
        <x:v>2</x:v>
      </x:c>
      <x:c r="G47" s="45" t="str">
        <x:v>2026-08-09T19:53:59+0800</x:v>
      </x:c>
      <x:c r="H47" s="46" t="str">
        <x:v>supported</x:v>
      </x:c>
      <x:c r="I47" s="45" t="str">
        <x:v>Crowding appears inside the source's causal statement for feeling overwhelmed.</x:v>
      </x:c>
      <x:c r="J47" s="45" t="n">
        <x:v>3</x:v>
      </x:c>
      <x:c r="K47" s="45" t="str">
        <x:v>2026-08-09T21:04:27+0800</x:v>
      </x:c>
      <x:c r="L47" s="47" t="str">
        <x:f>IF(D47=H47,"AGREE","DISAGREE")</x:f>
        <x:v>AGREE</x:v>
      </x:c>
    </x:row>
    <x:row r="48" ht="24" hidden="0" customHeight="1">
      <x:c r="A48" s="45" t="str">
        <x:v>SF-009-P01</x:v>
      </x:c>
      <x:c r="B48" s="45" t="str">
        <x:v>SF-009</x:v>
      </x:c>
      <x:c r="C48" s="45" t="str">
        <x:v>The participant might use the referenced item ("it") while commuting if it looked discreet and made no sound.</x:v>
      </x:c>
      <x:c r="D48" s="46" t="str">
        <x:v>supported</x:v>
      </x:c>
      <x:c r="E48" s="45" t="str">
        <x:v>The participant directly says they might use it while commuting if it looked discreet and made no sound.</x:v>
      </x:c>
      <x:c r="F48" s="45" t="n">
        <x:v>3</x:v>
      </x:c>
      <x:c r="G48" s="45" t="str">
        <x:v>2026-08-09T19:55:28+0800</x:v>
      </x:c>
      <x:c r="H48" s="46" t="str">
        <x:v>supported</x:v>
      </x:c>
      <x:c r="I48" s="45" t="str">
        <x:v>Conditional commuting use is supported by the same two constraints: discreet and silent.</x:v>
      </x:c>
      <x:c r="J48" s="45" t="n">
        <x:v>3</x:v>
      </x:c>
      <x:c r="K48" s="45" t="str">
        <x:v>2026-08-09T21:05:36+0800</x:v>
      </x:c>
      <x:c r="L48" s="47" t="str">
        <x:f>IF(D48=H48,"AGREE","DISAGREE")</x:f>
        <x:v>AGREE</x:v>
      </x:c>
    </x:row>
    <x:row r="49" ht="24" hidden="0" customHeight="1">
      <x:c r="A49" s="45" t="str">
        <x:v>SF-009-P02</x:v>
      </x:c>
      <x:c r="B49" s="45" t="str">
        <x:v>SF-009</x:v>
      </x:c>
      <x:c r="C49" s="45" t="str">
        <x:v>Obvious lights would embarrass the participant.</x:v>
      </x:c>
      <x:c r="D49" s="46" t="str">
        <x:v>supported</x:v>
      </x:c>
      <x:c r="E49" s="45" t="str">
        <x:v>The source explicitly states that obvious lights would embarrass the participant.</x:v>
      </x:c>
      <x:c r="F49" s="45" t="n">
        <x:v>3</x:v>
      </x:c>
      <x:c r="G49" s="45" t="str">
        <x:v>2026-08-09T19:57:10+0800</x:v>
      </x:c>
      <x:c r="H49" s="46" t="str">
        <x:v>supported</x:v>
      </x:c>
      <x:c r="I49" s="45" t="str">
        <x:v>Obvious lights are directly linked to embarrassment in the source.</x:v>
      </x:c>
      <x:c r="J49" s="45" t="n">
        <x:v>3</x:v>
      </x:c>
      <x:c r="K49" s="45" t="str">
        <x:v>2026-08-09T21:07:02+0800</x:v>
      </x:c>
      <x:c r="L49" s="47" t="str">
        <x:f>IF(D49=H49,"AGREE","DISAGREE")</x:f>
        <x:v>AGREE</x:v>
      </x:c>
    </x:row>
    <x:row r="50" ht="24" hidden="0" customHeight="1">
      <x:c r="A50" s="45" t="str">
        <x:v>SF-009-P03</x:v>
      </x:c>
      <x:c r="B50" s="45" t="str">
        <x:v>SF-009</x:v>
      </x:c>
      <x:c r="C50" s="45" t="str">
        <x:v>Scent would be a concern for people nearby in a shared space.</x:v>
      </x:c>
      <x:c r="D50" s="46" t="str">
        <x:v>supported</x:v>
      </x:c>
      <x:c r="E50" s="45" t="str">
        <x:v>The participant directly says scent would be a concern for people nearby in a shared space.</x:v>
      </x:c>
      <x:c r="F50" s="45" t="n">
        <x:v>3</x:v>
      </x:c>
      <x:c r="G50" s="45" t="str">
        <x:v>2026-08-09T19:59:05+0800</x:v>
      </x:c>
      <x:c r="H50" s="46" t="str">
        <x:v>supported</x:v>
      </x:c>
      <x:c r="I50" s="45" t="str">
        <x:v>Scent is directly linked to concern for nearby people in the shared-space context.</x:v>
      </x:c>
      <x:c r="J50" s="45" t="n">
        <x:v>3</x:v>
      </x:c>
      <x:c r="K50" s="45" t="str">
        <x:v>2026-08-09T21:08:16+0800</x:v>
      </x:c>
      <x:c r="L50" s="47" t="str">
        <x:f>IF(D50=H50,"AGREE","DISAGREE")</x:f>
        <x:v>AGREE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55" hidden="0" customWidth="1"/>
    <x:col min="4" max="4" width="11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19.200000762939453" hidden="0" customHeight="1">
      <x:c r="A1" s="3" t="str">
        <x:v>Sensitivity analysis — 27 unique proposition texts</x:v>
      </x:c>
      <x:c r="B1" s="3"/>
      <x:c r="C1" s="3"/>
      <x:c r="D1" s="3"/>
      <x:c r="E1" s="3"/>
      <x:c r="F1" s="3"/>
      <x:c r="G1" s="3"/>
    </x:row>
    <x:row r="2" ht="15" hidden="0" customHeight="1">
      <x:c r="A2" t="str">
        <x:v>Duplicate-looking blind items remain in the primary 46-row analysis. This sheet reports unique text once to show duplication sensitivity.</x:v>
      </x:c>
    </x:row>
    <x:row r="3"/>
    <x:row r="4" ht="15" hidden="0" customHeight="1">
      <x:c r="A4" s="36" t="str">
        <x:v>Representative ID</x:v>
      </x:c>
      <x:c r="B4" s="37" t="str">
        <x:v>All proposition IDs</x:v>
      </x:c>
      <x:c r="C4" s="37" t="str">
        <x:v>Atomic proposition</x:v>
      </x:c>
      <x:c r="D4" s="37" t="str">
        <x:v>Occurrences</x:v>
      </x:c>
      <x:c r="E4" s="37" t="str">
        <x:v>Coder01 label</x:v>
      </x:c>
      <x:c r="F4" s="37" t="str">
        <x:v>Coder02 label</x:v>
      </x:c>
      <x:c r="G4" s="38" t="str">
        <x:v>Agreement</x:v>
      </x:c>
    </x:row>
    <x:row r="5" ht="15" hidden="0" customHeight="1">
      <x:c r="A5" s="45" t="str">
        <x:v>SF-001-P01</x:v>
      </x:c>
      <x:c r="B5" s="45" t="str">
        <x:v>SF-001-P01, SF-005-P01</x:v>
      </x:c>
      <x:c r="C5" s="45" t="str">
        <x:v>Sharp braking noise was one of the participant's strongest triggers.</x:v>
      </x:c>
      <x:c r="D5" s="45" t="n">
        <x:v>2</x:v>
      </x:c>
      <x:c r="E5" s="45" t="str">
        <x:v>supported</x:v>
      </x:c>
      <x:c r="F5" s="45" t="str">
        <x:v>supported</x:v>
      </x:c>
      <x:c r="G5" s="45" t="str">
        <x:f>IF(E5=F5,"AGREE","DISAGREE")</x:f>
        <x:v>AGREE</x:v>
      </x:c>
    </x:row>
    <x:row r="6" ht="15" hidden="0" customHeight="1">
      <x:c r="A6" s="45" t="str">
        <x:v>SF-001-P02</x:v>
      </x:c>
      <x:c r="B6" s="45" t="str">
        <x:v>SF-001-P02, SF-005-P02</x:v>
      </x:c>
      <x:c r="C6" s="45" t="str">
        <x:v>Flashing carriage lights were one of the participant's strongest triggers.</x:v>
      </x:c>
      <x:c r="D6" s="45" t="n">
        <x:v>2</x:v>
      </x:c>
      <x:c r="E6" s="45" t="str">
        <x:v>supported</x:v>
      </x:c>
      <x:c r="F6" s="45" t="str">
        <x:v>supported</x:v>
      </x:c>
      <x:c r="G6" s="45" t="str">
        <x:f>IF(E6=F6,"AGREE","DISAGREE")</x:f>
        <x:v>AGREE</x:v>
      </x:c>
    </x:row>
    <x:row r="7" ht="15" hidden="0" customHeight="1">
      <x:c r="A7" s="45" t="str">
        <x:v>SF-001-P03</x:v>
      </x:c>
      <x:c r="B7" s="45" t="str">
        <x:v>SF-001-P03, SF-005-P03</x:v>
      </x:c>
      <x:c r="C7" s="45" t="str">
        <x:v>Crowding was one of the participant's strongest triggers.</x:v>
      </x:c>
      <x:c r="D7" s="45" t="n">
        <x:v>2</x:v>
      </x:c>
      <x:c r="E7" s="45" t="str">
        <x:v>supported</x:v>
      </x:c>
      <x:c r="F7" s="45" t="str">
        <x:v>supported</x:v>
      </x:c>
      <x:c r="G7" s="45" t="str">
        <x:f>IF(E7=F7,"AGREE","DISAGREE")</x:f>
        <x:v>AGREE</x:v>
      </x:c>
    </x:row>
    <x:row r="8" ht="15" hidden="0" customHeight="1">
      <x:c r="A8" s="45" t="str">
        <x:v>SF-001-P04</x:v>
      </x:c>
      <x:c r="B8" s="45" t="str">
        <x:v>SF-001-P04, SF-005-P04</x:v>
      </x:c>
      <x:c r="C8" s="45" t="str">
        <x:v>The participant's shoulders tightened.</x:v>
      </x:c>
      <x:c r="D8" s="45" t="n">
        <x:v>2</x:v>
      </x:c>
      <x:c r="E8" s="45" t="str">
        <x:v>supported</x:v>
      </x:c>
      <x:c r="F8" s="45" t="str">
        <x:v>supported</x:v>
      </x:c>
      <x:c r="G8" s="45" t="str">
        <x:f>IF(E8=F8,"AGREE","DISAGREE")</x:f>
        <x:v>AGREE</x:v>
      </x:c>
    </x:row>
    <x:row r="9" ht="15" hidden="0" customHeight="1">
      <x:c r="A9" s="45" t="str">
        <x:v>SF-001-P05</x:v>
      </x:c>
      <x:c r="B9" s="45" t="str">
        <x:v>SF-001-P05, SF-005-P05</x:v>
      </x:c>
      <x:c r="C9" s="45" t="str">
        <x:v>The participant's heart raced.</x:v>
      </x:c>
      <x:c r="D9" s="45" t="n">
        <x:v>2</x:v>
      </x:c>
      <x:c r="E9" s="45" t="str">
        <x:v>supported</x:v>
      </x:c>
      <x:c r="F9" s="45" t="str">
        <x:v>supported</x:v>
      </x:c>
      <x:c r="G9" s="45" t="str">
        <x:f>IF(E9=F9,"AGREE","DISAGREE")</x:f>
        <x:v>AGREE</x:v>
      </x:c>
    </x:row>
    <x:row r="10" ht="15" hidden="0" customHeight="1">
      <x:c r="A10" s="45" t="str">
        <x:v>SF-001-P06</x:v>
      </x:c>
      <x:c r="B10" s="45" t="str">
        <x:v>SF-001-P06, SF-005-P06</x:v>
      </x:c>
      <x:c r="C10" s="45" t="str">
        <x:v>The participant felt panicked.</x:v>
      </x:c>
      <x:c r="D10" s="45" t="n">
        <x:v>2</x:v>
      </x:c>
      <x:c r="E10" s="45" t="str">
        <x:v>supported</x:v>
      </x:c>
      <x:c r="F10" s="45" t="str">
        <x:v>supported</x:v>
      </x:c>
      <x:c r="G10" s="45" t="str">
        <x:f>IF(E10=F10,"AGREE","DISAGREE")</x:f>
        <x:v>AGREE</x:v>
      </x:c>
    </x:row>
    <x:row r="11" ht="15" hidden="0" customHeight="1">
      <x:c r="A11" s="45" t="str">
        <x:v>SF-002-P01</x:v>
      </x:c>
      <x:c r="B11" s="45" t="str">
        <x:v>SF-002-P01, SF-004-P01</x:v>
      </x:c>
      <x:c r="C11" s="45" t="str">
        <x:v>The participant covered their ears.</x:v>
      </x:c>
      <x:c r="D11" s="45" t="n">
        <x:v>2</x:v>
      </x:c>
      <x:c r="E11" s="45" t="str">
        <x:v>supported</x:v>
      </x:c>
      <x:c r="F11" s="45" t="str">
        <x:v>supported</x:v>
      </x:c>
      <x:c r="G11" s="45" t="str">
        <x:f>IF(E11=F11,"AGREE","DISAGREE")</x:f>
        <x:v>AGREE</x:v>
      </x:c>
    </x:row>
    <x:row r="12" ht="15" hidden="0" customHeight="1">
      <x:c r="A12" s="45" t="str">
        <x:v>SF-002-P02</x:v>
      </x:c>
      <x:c r="B12" s="45" t="str">
        <x:v>SF-002-P02, SF-004-P02</x:v>
      </x:c>
      <x:c r="C12" s="45" t="str">
        <x:v>The participant focused on slow breathing.</x:v>
      </x:c>
      <x:c r="D12" s="45" t="n">
        <x:v>2</x:v>
      </x:c>
      <x:c r="E12" s="45" t="str">
        <x:v>supported</x:v>
      </x:c>
      <x:c r="F12" s="45" t="str">
        <x:v>supported</x:v>
      </x:c>
      <x:c r="G12" s="45" t="str">
        <x:f>IF(E12=F12,"AGREE","DISAGREE")</x:f>
        <x:v>AGREE</x:v>
      </x:c>
    </x:row>
    <x:row r="13" ht="15" hidden="0" customHeight="1">
      <x:c r="A13" s="45" t="str">
        <x:v>SF-002-P03</x:v>
      </x:c>
      <x:c r="B13" s="45" t="str">
        <x:v>SF-002-P03, SF-004-P03</x:v>
      </x:c>
      <x:c r="C13" s="45" t="str">
        <x:v>The participant left at the next stop.</x:v>
      </x:c>
      <x:c r="D13" s="45" t="n">
        <x:v>2</x:v>
      </x:c>
      <x:c r="E13" s="45" t="str">
        <x:v>supported</x:v>
      </x:c>
      <x:c r="F13" s="45" t="str">
        <x:v>supported</x:v>
      </x:c>
      <x:c r="G13" s="45" t="str">
        <x:f>IF(E13=F13,"AGREE","DISAGREE")</x:f>
        <x:v>AGREE</x:v>
      </x:c>
    </x:row>
    <x:row r="14" ht="15" hidden="0" customHeight="1">
      <x:c r="A14" s="45" t="str">
        <x:v>SF-002-P04</x:v>
      </x:c>
      <x:c r="B14" s="45" t="str">
        <x:v>SF-002-P04, SF-004-P04</x:v>
      </x:c>
      <x:c r="C14" s="45" t="str">
        <x:v>A quieter carriage would have helped the participant.</x:v>
      </x:c>
      <x:c r="D14" s="45" t="n">
        <x:v>2</x:v>
      </x:c>
      <x:c r="E14" s="45" t="str">
        <x:v>supported</x:v>
      </x:c>
      <x:c r="F14" s="45" t="str">
        <x:v>supported</x:v>
      </x:c>
      <x:c r="G14" s="45" t="str">
        <x:f>IF(E14=F14,"AGREE","DISAGREE")</x:f>
        <x:v>AGREE</x:v>
      </x:c>
    </x:row>
    <x:row r="15" ht="15" hidden="0" customHeight="1">
      <x:c r="A15" s="45" t="str">
        <x:v>SF-002-P05</x:v>
      </x:c>
      <x:c r="B15" s="45" t="str">
        <x:v>SF-002-P05, SF-004-P05</x:v>
      </x:c>
      <x:c r="C15" s="45" t="str">
        <x:v>A warning before the alarm would have helped the participant.</x:v>
      </x:c>
      <x:c r="D15" s="45" t="n">
        <x:v>2</x:v>
      </x:c>
      <x:c r="E15" s="45" t="str">
        <x:v>supported</x:v>
      </x:c>
      <x:c r="F15" s="45" t="str">
        <x:v>supported</x:v>
      </x:c>
      <x:c r="G15" s="45" t="str">
        <x:f>IF(E15=F15,"AGREE","DISAGREE")</x:f>
        <x:v>AGREE</x:v>
      </x:c>
    </x:row>
    <x:row r="16" ht="15" hidden="0" customHeight="1">
      <x:c r="A16" s="45" t="str">
        <x:v>SF-002-P06</x:v>
      </x:c>
      <x:c r="B16" s="45" t="str">
        <x:v>SF-002-P06, SF-004-P06</x:v>
      </x:c>
      <x:c r="C16" s="45" t="str">
        <x:v>The repeated announcements did not help because they added more noise.</x:v>
      </x:c>
      <x:c r="D16" s="45" t="n">
        <x:v>2</x:v>
      </x:c>
      <x:c r="E16" s="45" t="str">
        <x:v>supported</x:v>
      </x:c>
      <x:c r="F16" s="45" t="str">
        <x:v>supported</x:v>
      </x:c>
      <x:c r="G16" s="45" t="str">
        <x:f>IF(E16=F16,"AGREE","DISAGREE")</x:f>
        <x:v>AGREE</x:v>
      </x:c>
    </x:row>
    <x:row r="17" ht="24" hidden="0" customHeight="1">
      <x:c r="A17" s="45" t="str">
        <x:v>SF-003-P01</x:v>
      </x:c>
      <x:c r="B17" s="45" t="str">
        <x:v>SF-003-P01, SF-006-P01</x:v>
      </x:c>
      <x:c r="C17" s="45" t="str">
        <x:v>The squeeze interaction seemed useful because it would give the participant's hands a focus.</x:v>
      </x:c>
      <x:c r="D17" s="45" t="n">
        <x:v>2</x:v>
      </x:c>
      <x:c r="E17" s="45" t="str">
        <x:v>supported</x:v>
      </x:c>
      <x:c r="F17" s="45" t="str">
        <x:v>supported</x:v>
      </x:c>
      <x:c r="G17" s="45" t="str">
        <x:f>IF(E17=F17,"AGREE","DISAGREE")</x:f>
        <x:v>AGREE</x:v>
      </x:c>
    </x:row>
    <x:row r="18" ht="15" hidden="0" customHeight="1">
      <x:c r="A18" s="45" t="str">
        <x:v>SF-003-P02</x:v>
      </x:c>
      <x:c r="B18" s="45" t="str">
        <x:v>SF-003-P02, SF-006-P02</x:v>
      </x:c>
      <x:c r="C18" s="45" t="str">
        <x:v>Gentle haptics might help the participant pace their breathing.</x:v>
      </x:c>
      <x:c r="D18" s="45" t="n">
        <x:v>2</x:v>
      </x:c>
      <x:c r="E18" s="45" t="str">
        <x:v>supported</x:v>
      </x:c>
      <x:c r="F18" s="45" t="str">
        <x:v>supported</x:v>
      </x:c>
      <x:c r="G18" s="45" t="str">
        <x:f>IF(E18=F18,"AGREE","DISAGREE")</x:f>
        <x:v>AGREE</x:v>
      </x:c>
    </x:row>
    <x:row r="19" ht="15" hidden="0" customHeight="1">
      <x:c r="A19" s="45" t="str">
        <x:v>SF-003-P03</x:v>
      </x:c>
      <x:c r="B19" s="45" t="str">
        <x:v>SF-003-P03, SF-006-P03</x:v>
      </x:c>
      <x:c r="C19" s="45" t="str">
        <x:v>The participant would avoid scent because it could be another trigger.</x:v>
      </x:c>
      <x:c r="D19" s="45" t="n">
        <x:v>2</x:v>
      </x:c>
      <x:c r="E19" s="45" t="str">
        <x:v>supported</x:v>
      </x:c>
      <x:c r="F19" s="45" t="str">
        <x:v>supported</x:v>
      </x:c>
      <x:c r="G19" s="45" t="str">
        <x:f>IF(E19=F19,"AGREE","DISAGREE")</x:f>
        <x:v>AGREE</x:v>
      </x:c>
    </x:row>
    <x:row r="20" ht="15" hidden="0" customHeight="1">
      <x:c r="A20" s="45" t="str">
        <x:v>SF-003-P04</x:v>
      </x:c>
      <x:c r="B20" s="45" t="str">
        <x:v>SF-003-P04, SF-006-P04</x:v>
      </x:c>
      <x:c r="C20" s="45" t="str">
        <x:v>The participant wanted every feature to be optional.</x:v>
      </x:c>
      <x:c r="D20" s="45" t="n">
        <x:v>2</x:v>
      </x:c>
      <x:c r="E20" s="45" t="str">
        <x:v>supported</x:v>
      </x:c>
      <x:c r="F20" s="45" t="str">
        <x:v>supported</x:v>
      </x:c>
      <x:c r="G20" s="45" t="str">
        <x:f>IF(E20=F20,"AGREE","DISAGREE")</x:f>
        <x:v>AGREE</x:v>
      </x:c>
    </x:row>
    <x:row r="21" ht="24" hidden="0" customHeight="1">
      <x:c r="A21" s="45" t="str">
        <x:v>SF-007-P01</x:v>
      </x:c>
      <x:c r="B21" s="45" t="str">
        <x:v>SF-007-P01, SF-009-P01</x:v>
      </x:c>
      <x:c r="C21" s="45" t="str">
        <x:v>The participant might use the referenced item ("it") while commuting if it looked discreet and made no sound.</x:v>
      </x:c>
      <x:c r="D21" s="45" t="n">
        <x:v>2</x:v>
      </x:c>
      <x:c r="E21" s="45" t="str">
        <x:v>supported</x:v>
      </x:c>
      <x:c r="F21" s="45" t="str">
        <x:v>supported</x:v>
      </x:c>
      <x:c r="G21" s="45" t="str">
        <x:f>IF(E21=F21,"AGREE","DISAGREE")</x:f>
        <x:v>AGREE</x:v>
      </x:c>
    </x:row>
    <x:row r="22" ht="15" hidden="0" customHeight="1">
      <x:c r="A22" s="45" t="str">
        <x:v>SF-007-P02</x:v>
      </x:c>
      <x:c r="B22" s="45" t="str">
        <x:v>SF-007-P02, SF-009-P02</x:v>
      </x:c>
      <x:c r="C22" s="45" t="str">
        <x:v>Obvious lights would embarrass the participant.</x:v>
      </x:c>
      <x:c r="D22" s="45" t="n">
        <x:v>2</x:v>
      </x:c>
      <x:c r="E22" s="45" t="str">
        <x:v>supported</x:v>
      </x:c>
      <x:c r="F22" s="45" t="str">
        <x:v>supported</x:v>
      </x:c>
      <x:c r="G22" s="45" t="str">
        <x:f>IF(E22=F22,"AGREE","DISAGREE")</x:f>
        <x:v>AGREE</x:v>
      </x:c>
    </x:row>
    <x:row r="23" ht="15" hidden="0" customHeight="1">
      <x:c r="A23" s="45" t="str">
        <x:v>SF-007-P03</x:v>
      </x:c>
      <x:c r="B23" s="45" t="str">
        <x:v>SF-007-P03, SF-009-P03</x:v>
      </x:c>
      <x:c r="C23" s="45" t="str">
        <x:v>Scent would be a concern for people nearby in a shared space.</x:v>
      </x:c>
      <x:c r="D23" s="45" t="n">
        <x:v>2</x:v>
      </x:c>
      <x:c r="E23" s="45" t="str">
        <x:v>supported</x:v>
      </x:c>
      <x:c r="F23" s="45" t="str">
        <x:v>supported</x:v>
      </x:c>
      <x:c r="G23" s="45" t="str">
        <x:f>IF(E23=F23,"AGREE","DISAGREE")</x:f>
        <x:v>AGREE</x:v>
      </x:c>
    </x:row>
    <x:row r="24" ht="15" hidden="0" customHeight="1">
      <x:c r="A24" s="45" t="str">
        <x:v>SF-008-P01</x:v>
      </x:c>
      <x:c r="B24" s="45" t="str">
        <x:v>SF-008-P01</x:v>
      </x:c>
      <x:c r="C24" s="45" t="str">
        <x:v>The described experience occurred on a crowded train.</x:v>
      </x:c>
      <x:c r="D24" s="45" t="n">
        <x:v>1</x:v>
      </x:c>
      <x:c r="E24" s="45" t="str">
        <x:v>supported</x:v>
      </x:c>
      <x:c r="F24" s="45" t="str">
        <x:v>supported</x:v>
      </x:c>
      <x:c r="G24" s="45" t="str">
        <x:f>IF(E24=F24,"AGREE","DISAGREE")</x:f>
        <x:v>AGREE</x:v>
      </x:c>
    </x:row>
    <x:row r="25" ht="15" hidden="0" customHeight="1">
      <x:c r="A25" s="45" t="str">
        <x:v>SF-008-P02</x:v>
      </x:c>
      <x:c r="B25" s="45" t="str">
        <x:v>SF-008-P02</x:v>
      </x:c>
      <x:c r="C25" s="45" t="str">
        <x:v>The participant described the experience as sensory overload.</x:v>
      </x:c>
      <x:c r="D25" s="45" t="n">
        <x:v>1</x:v>
      </x:c>
      <x:c r="E25" s="45" t="str">
        <x:v>unsupported</x:v>
      </x:c>
      <x:c r="F25" s="45" t="str">
        <x:v>supported</x:v>
      </x:c>
      <x:c r="G25" s="45" t="str">
        <x:f>IF(E25=F25,"AGREE","DISAGREE")</x:f>
        <x:v>DISAGREE</x:v>
      </x:c>
    </x:row>
    <x:row r="26" ht="15" hidden="0" customHeight="1">
      <x:c r="A26" s="45" t="str">
        <x:v>SF-008-P03</x:v>
      </x:c>
      <x:c r="B26" s="45" t="str">
        <x:v>SF-008-P03</x:v>
      </x:c>
      <x:c r="C26" s="45" t="str">
        <x:v>Alarms made the participant feel trapped.</x:v>
      </x:c>
      <x:c r="D26" s="45" t="n">
        <x:v>1</x:v>
      </x:c>
      <x:c r="E26" s="45" t="str">
        <x:v>unsupported</x:v>
      </x:c>
      <x:c r="F26" s="45" t="str">
        <x:v>unsupported</x:v>
      </x:c>
      <x:c r="G26" s="45" t="str">
        <x:f>IF(E26=F26,"AGREE","DISAGREE")</x:f>
        <x:v>AGREE</x:v>
      </x:c>
    </x:row>
    <x:row r="27" ht="15" hidden="0" customHeight="1">
      <x:c r="A27" s="45" t="str">
        <x:v>SF-008-P04</x:v>
      </x:c>
      <x:c r="B27" s="45" t="str">
        <x:v>SF-008-P04</x:v>
      </x:c>
      <x:c r="C27" s="45" t="str">
        <x:v>Noise made the participant feel trapped.</x:v>
      </x:c>
      <x:c r="D27" s="45" t="n">
        <x:v>1</x:v>
      </x:c>
      <x:c r="E27" s="45" t="str">
        <x:v>supported</x:v>
      </x:c>
      <x:c r="F27" s="45" t="str">
        <x:v>supported</x:v>
      </x:c>
      <x:c r="G27" s="45" t="str">
        <x:f>IF(E27=F27,"AGREE","DISAGREE")</x:f>
        <x:v>AGREE</x:v>
      </x:c>
    </x:row>
    <x:row r="28" ht="15" hidden="0" customHeight="1">
      <x:c r="A28" s="45" t="str">
        <x:v>SF-008-P05</x:v>
      </x:c>
      <x:c r="B28" s="45" t="str">
        <x:v>SF-008-P05</x:v>
      </x:c>
      <x:c r="C28" s="45" t="str">
        <x:v>Crowding made the participant feel trapped.</x:v>
      </x:c>
      <x:c r="D28" s="45" t="n">
        <x:v>1</x:v>
      </x:c>
      <x:c r="E28" s="45" t="str">
        <x:v>supported</x:v>
      </x:c>
      <x:c r="F28" s="45" t="str">
        <x:v>supported</x:v>
      </x:c>
      <x:c r="G28" s="45" t="str">
        <x:f>IF(E28=F28,"AGREE","DISAGREE")</x:f>
        <x:v>AGREE</x:v>
      </x:c>
    </x:row>
    <x:row r="29" ht="15" hidden="0" customHeight="1">
      <x:c r="A29" s="45" t="str">
        <x:v>SF-008-P06</x:v>
      </x:c>
      <x:c r="B29" s="45" t="str">
        <x:v>SF-008-P06</x:v>
      </x:c>
      <x:c r="C29" s="45" t="str">
        <x:v>Alarms made the participant feel overwhelmed.</x:v>
      </x:c>
      <x:c r="D29" s="45" t="n">
        <x:v>1</x:v>
      </x:c>
      <x:c r="E29" s="45" t="str">
        <x:v>unsupported</x:v>
      </x:c>
      <x:c r="F29" s="45" t="str">
        <x:v>unsupported</x:v>
      </x:c>
      <x:c r="G29" s="45" t="str">
        <x:f>IF(E29=F29,"AGREE","DISAGREE")</x:f>
        <x:v>AGREE</x:v>
      </x:c>
    </x:row>
    <x:row r="30" ht="15" hidden="0" customHeight="1">
      <x:c r="A30" s="45" t="str">
        <x:v>SF-008-P07</x:v>
      </x:c>
      <x:c r="B30" s="45" t="str">
        <x:v>SF-008-P07</x:v>
      </x:c>
      <x:c r="C30" s="45" t="str">
        <x:v>Noise made the participant feel overwhelmed.</x:v>
      </x:c>
      <x:c r="D30" s="45" t="n">
        <x:v>1</x:v>
      </x:c>
      <x:c r="E30" s="45" t="str">
        <x:v>supported</x:v>
      </x:c>
      <x:c r="F30" s="45" t="str">
        <x:v>supported</x:v>
      </x:c>
      <x:c r="G30" s="45" t="str">
        <x:f>IF(E30=F30,"AGREE","DISAGREE")</x:f>
        <x:v>AGREE</x:v>
      </x:c>
    </x:row>
    <x:row r="31" ht="15" hidden="0" customHeight="1">
      <x:c r="A31" s="45" t="str">
        <x:v>SF-008-P08</x:v>
      </x:c>
      <x:c r="B31" s="45" t="str">
        <x:v>SF-008-P08</x:v>
      </x:c>
      <x:c r="C31" s="45" t="str">
        <x:v>Crowding made the participant feel overwhelmed.</x:v>
      </x:c>
      <x:c r="D31" s="45" t="n">
        <x:v>1</x:v>
      </x:c>
      <x:c r="E31" s="45" t="str">
        <x:v>supported</x:v>
      </x:c>
      <x:c r="F31" s="45" t="str">
        <x:v>supported</x:v>
      </x:c>
      <x:c r="G31" s="45" t="str">
        <x:f>IF(E31=F31,"AGREE","DISAGREE")</x:f>
        <x:v>AGREE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19.200000762939453" hidden="0" customHeight="1">
      <x:c r="A1" s="3" t="str">
        <x:v>Blinded disagreement record — not yet resolved</x:v>
      </x:c>
      <x:c r="B1" s="3"/>
      <x:c r="C1" s="3"/>
      <x:c r="D1" s="3"/>
      <x:c r="E1" s="3"/>
      <x:c r="F1" s="3"/>
      <x:c r="G1" s="3"/>
      <x:c r="H1" s="3"/>
    </x:row>
    <x:row r="2"/>
    <x:row r="3" ht="15" hidden="0" customHeight="1">
      <x:c r="A3" s="6" t="str">
        <x:v>Proposition ID</x:v>
      </x:c>
      <x:c r="B3" s="45" t="str">
        <x:v>SF-008-P02</x:v>
      </x:c>
    </x:row>
    <x:row r="4" ht="15" hidden="0" customHeight="1">
      <x:c r="A4" s="6" t="str">
        <x:v>Blind item ID</x:v>
      </x:c>
      <x:c r="B4" s="45" t="str">
        <x:v>SF-008</x:v>
      </x:c>
    </x:row>
    <x:row r="5" ht="24" hidden="0" customHeight="1">
      <x:c r="A5" s="6" t="str">
        <x:v>Participant source</x:v>
      </x:c>
      <x:c r="B5" s="45" t="str">
        <x:v>On a crowded train, the carriage stopped between stations while alarms sounded. The noise and crowding made me feel trapped and overwhelmed.</x:v>
      </x:c>
    </x:row>
    <x:row r="6" ht="15" hidden="0" customHeight="1">
      <x:c r="A6" s="6" t="str">
        <x:v>Frozen proposition</x:v>
      </x:c>
      <x:c r="B6" s="45" t="str">
        <x:v>The participant described the experience as sensory overload.</x:v>
      </x:c>
    </x:row>
    <x:row r="7" ht="24" hidden="0" customHeight="1">
      <x:c r="A7" s="6" t="str">
        <x:v>Coder01 judgement</x:v>
      </x:c>
      <x:c r="B7" s="45" t="str">
        <x:v>unsupported — The source describes feeling trapped and overwhelmed but does not state or clearly establish the category 'sensory overload'. I would not treat that interpretive label as source-supported.</x:v>
      </x:c>
    </x:row>
    <x:row r="8" ht="24" hidden="0" customHeight="1">
      <x:c r="A8" s="6" t="str">
        <x:v>Coder02 judgement</x:v>
      </x:c>
      <x:c r="B8" s="45" t="str">
        <x:v>supported — The source does not use the term 'sensory overload', but it describes alarms, noise and crowding together with feeling trapped and overwhelmed. I read the proposition as a concise description of that experience rather than as a separate factual claim.</x:v>
      </x:c>
    </x:row>
    <x:row r="9" ht="15" hidden="0" customHeight="1">
      <x:c r="A9" s="6" t="str">
        <x:v>Final resolution</x:v>
      </x:c>
      <x:c r="B9" s="49" t="str">
        <x:v>PENDING</x:v>
      </x:c>
    </x:row>
    <x:row r="10" ht="15" hidden="0" customHeight="1">
      <x:c r="A10" s="6" t="str">
        <x:v>Why pending</x:v>
      </x:c>
      <x:c r="B10" s="45" t="str">
        <x:v>The original two independent answers must not be overwritten. A named human consensus decision or adjudication is still required.</x:v>
      </x:c>
    </x:row>
    <x:row r="11"/>
    <x:row r="12" ht="15" hidden="0" customHeight="1">
      <x:c r="A12" s="36" t="str">
        <x:v>Method note</x:v>
      </x:c>
      <x:c r="B12" s="37"/>
      <x:c r="C12" s="37"/>
      <x:c r="D12" s="37"/>
      <x:c r="E12" s="37"/>
      <x:c r="F12" s="37"/>
      <x:c r="G12" s="37"/>
      <x:c r="H12" s="38"/>
    </x:row>
    <x:row r="13">
      <x:c r="A13" s="51" t="str">
        <x:v>The source says the participant felt trapped and overwhelmed; it does not use the label “sensory overload”. The frozen proposition asserts that the participant described the experience as sensory overload. Under the Phase 2 rule, the resolver must decide whether that attribution is clearly entailed or whether it adds an interpretive category.</x:v>
      </x:c>
      <x:c r="B13" s="51"/>
      <x:c r="C13" s="51"/>
      <x:c r="D13" s="51"/>
      <x:c r="E13" s="51"/>
      <x:c r="F13" s="51"/>
      <x:c r="G13" s="51"/>
      <x:c r="H13" s="51"/>
    </x:row>
    <x:row r="14">
      <x:c r="A14" s="51"/>
      <x:c r="B14" s="51"/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</x:sheetData>
  <x:mergeCells>
    <x:mergeCell ref="A1:H1"/>
    <x:mergeCell ref="A12:H12"/>
    <x:mergeCell ref="A13:H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72" hidden="0" customWidth="1"/>
    <x:col min="3" max="3" width="72" hidden="0" customWidth="1"/>
    <x:col min="4" max="4" width="14" hidden="0" customWidth="1"/>
  </x:cols>
  <x:sheetData>
    <x:row r="1" ht="19.200000762939453" hidden="0" customHeight="1">
      <x:c r="A1" s="3" t="str">
        <x:v>Provenance and integrity checks</x:v>
      </x:c>
      <x:c r="B1" s="3"/>
      <x:c r="C1" s="3"/>
      <x:c r="D1" s="3"/>
    </x:row>
    <x:row r="2"/>
    <x:row r="3" ht="15" hidden="0" customHeight="1">
      <x:c r="A3" s="36" t="str">
        <x:v>Check</x:v>
      </x:c>
      <x:c r="B3" s="37" t="str">
        <x:v>Coder01</x:v>
      </x:c>
      <x:c r="C3" s="37" t="str">
        <x:v>Coder02</x:v>
      </x:c>
      <x:c r="D3" s="38" t="str">
        <x:v>Result</x:v>
      </x:c>
    </x:row>
    <x:row r="4" ht="15" hidden="0" customHeight="1">
      <x:c r="A4" s="56" t="str">
        <x:v>Returned SHA-256</x:v>
      </x:c>
      <x:c r="B4" s="45" t="str">
        <x:v>8f0b7ab32efd17a3b8ef286b1341a42de60103664255404ef2993701ede94f05</x:v>
      </x:c>
      <x:c r="C4" s="45" t="str">
        <x:v>b4184cb99ccd9957ecddf5edd99a4aaa9dfc2f0ea12bdeed3ea1cf375ad1f042</x:v>
      </x:c>
      <x:c r="D4" s="45" t="str">
        <x:v>LOCKED</x:v>
      </x:c>
    </x:row>
    <x:row r="5" ht="15" hidden="0" customHeight="1">
      <x:c r="A5" s="56" t="str">
        <x:v>Frozen inventory SHA-256</x:v>
      </x:c>
      <x:c r="B5" s="45" t="str">
        <x:v>f8708132168cb35d63769dc2c50929bc67ab6856e991a9accb53ad0efe3645d6</x:v>
      </x:c>
      <x:c r="C5" s="45" t="str">
        <x:v>f8708132168cb35d63769dc2c50929bc67ab6856e991a9accb53ad0efe3645d6</x:v>
      </x:c>
      <x:c r="D5" s="45" t="str">
        <x:v>MATCH</x:v>
      </x:c>
    </x:row>
    <x:row r="6" ht="15" hidden="0" customHeight="1">
      <x:c r="A6" s="56" t="str">
        <x:v>Source-material set SHA-256</x:v>
      </x:c>
      <x:c r="B6" s="45" t="str">
        <x:v>74257b3bcc011af93a127466acee00c819fd87ba67386d29f2f34906b1e8c1aa</x:v>
      </x:c>
      <x:c r="C6" s="45" t="str">
        <x:v>74257b3bcc011af93a127466acee00c819fd87ba67386d29f2f34906b1e8c1aa</x:v>
      </x:c>
      <x:c r="D6" s="45" t="str">
        <x:v>MATCH</x:v>
      </x:c>
    </x:row>
    <x:row r="7" ht="15" hidden="0" customHeight="1">
      <x:c r="A7" s="56" t="str">
        <x:v>Fixed rows match frozen inventory</x:v>
      </x:c>
      <x:c r="B7" s="55" t="b">
        <x:v>1</x:v>
      </x:c>
      <x:c r="C7" s="55" t="b">
        <x:v>1</x:v>
      </x:c>
      <x:c r="D7" s="45" t="str">
        <x:v>PASS</x:v>
      </x:c>
    </x:row>
    <x:row r="8" ht="15" hidden="0" customHeight="1">
      <x:c r="A8" s="56" t="str">
        <x:v>Fixed coding cells match issued template</x:v>
      </x:c>
      <x:c r="B8" s="55" t="b">
        <x:v>1</x:v>
      </x:c>
      <x:c r="C8" s="55" t="b">
        <x:v>1</x:v>
      </x:c>
      <x:c r="D8" s="45" t="str">
        <x:v>PASS</x:v>
      </x:c>
    </x:row>
    <x:row r="9" ht="15" hidden="0" customHeight="1">
      <x:c r="A9" s="56" t="str">
        <x:v>Codebook matches issued template</x:v>
      </x:c>
      <x:c r="B9" s="55" t="b">
        <x:v>1</x:v>
      </x:c>
      <x:c r="C9" s="55" t="b">
        <x:v>1</x:v>
      </x:c>
      <x:c r="D9" s="45" t="str">
        <x:v>PASS</x:v>
      </x:c>
    </x:row>
    <x:row r="10" ht="15" hidden="0" customHeight="1">
      <x:c r="A10" s="56" t="str">
        <x:v>46 valid labels</x:v>
      </x:c>
      <x:c r="B10" s="55" t="b">
        <x:v>1</x:v>
      </x:c>
      <x:c r="C10" s="55" t="b">
        <x:v>1</x:v>
      </x:c>
      <x:c r="D10" s="45" t="str">
        <x:v>PASS</x:v>
      </x:c>
    </x:row>
    <x:row r="11" ht="15" hidden="0" customHeight="1">
      <x:c r="A11" s="56" t="str">
        <x:v>46 source-based rationales</x:v>
      </x:c>
      <x:c r="B11" s="55" t="b">
        <x:v>1</x:v>
      </x:c>
      <x:c r="C11" s="55" t="b">
        <x:v>1</x:v>
      </x:c>
      <x:c r="D11" s="45" t="str">
        <x:v>PASS</x:v>
      </x:c>
    </x:row>
    <x:row r="12" ht="15" hidden="0" customHeight="1">
      <x:c r="A12" s="56" t="str">
        <x:v>46 confidence values</x:v>
      </x:c>
      <x:c r="B12" s="55" t="b">
        <x:v>1</x:v>
      </x:c>
      <x:c r="C12" s="55" t="b">
        <x:v>1</x:v>
      </x:c>
      <x:c r="D12" s="45" t="str">
        <x:v>PASS</x:v>
      </x:c>
    </x:row>
    <x:row r="13" ht="15" hidden="0" customHeight="1">
      <x:c r="A13" s="56" t="str">
        <x:v>46 ISO-8601 timestamps</x:v>
      </x:c>
      <x:c r="B13" s="55" t="b">
        <x:v>1</x:v>
      </x:c>
      <x:c r="C13" s="55" t="b">
        <x:v>1</x:v>
      </x:c>
      <x:c r="D13" s="45" t="str">
        <x:v>PASS</x:v>
      </x:c>
    </x:row>
    <x:row r="14" ht="15" hidden="0" customHeight="1">
      <x:c r="A14" s="56" t="str">
        <x:v>Timestamps monotonic and within session</x:v>
      </x:c>
      <x:c r="B14" s="55" t="b">
        <x:v>1</x:v>
      </x:c>
      <x:c r="C14" s="55" t="b">
        <x:v>1</x:v>
      </x:c>
      <x:c r="D14" s="45" t="str">
        <x:v>PASS</x:v>
      </x:c>
    </x:row>
    <x:row r="15" ht="15" hidden="0" customHeight="1">
      <x:c r="A15" s="56" t="str">
        <x:v>Declarations confirmed</x:v>
      </x:c>
      <x:c r="B15" s="55" t="b">
        <x:v>1</x:v>
      </x:c>
      <x:c r="C15" s="55" t="b">
        <x:v>1</x:v>
      </x:c>
      <x:c r="D15" s="45" t="str">
        <x:v>PASS</x:v>
      </x:c>
    </x:row>
    <x:row r="16"/>
    <x:row r="17" ht="15" hidden="0" customHeight="1">
      <x:c r="A17" s="36" t="str">
        <x:v>Evidence-chain note</x:v>
      </x:c>
      <x:c r="B17" s="37"/>
      <x:c r="C17" s="37"/>
      <x:c r="D17" s="38"/>
    </x:row>
    <x:row r="18">
      <x:c r="A18" s="51" t="str">
        <x:v>Workbook declarations record claimed independent completion; the files alone cannot prove who typed the entries. Retain the original return messages/attachments and do not replace the two locked files with any consensus-edited version. The one consensus/adjudication decision must be stored separately from the original coder rows.</x:v>
      </x:c>
      <x:c r="B18" s="51"/>
      <x:c r="C18" s="51"/>
      <x:c r="D18" s="51"/>
    </x:row>
    <x:row r="19">
      <x:c r="A19" s="51"/>
      <x:c r="B19" s="51"/>
      <x:c r="C19" s="51"/>
      <x:c r="D19" s="51"/>
    </x:row>
    <x:row r="20">
      <x:c r="A20" s="51"/>
      <x:c r="B20" s="51"/>
      <x:c r="C20" s="51"/>
      <x:c r="D20" s="51"/>
    </x:row>
    <x:row r="21">
      <x:c r="A21" s="51"/>
      <x:c r="B21" s="51"/>
      <x:c r="C21" s="51"/>
      <x:c r="D21" s="51"/>
    </x:row>
  </x:sheetData>
  <x:mergeCells>
    <x:mergeCell ref="A1:D1"/>
    <x:mergeCell ref="A17:D17"/>
    <x:mergeCell ref="A18:D21"/>
  </x:mergeCells>
  <x:pageMargins left="0.7" right="0.7" top="0.75" bottom="0.75" header="0.3" footer="0.3"/>
</x:worksheet>
</file>