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Lenovo\Desktop\"/>
    </mc:Choice>
  </mc:AlternateContent>
  <bookViews>
    <workbookView windowWidth="29868" windowHeight="12780"/>
  </bookViews>
  <sheets>
    <sheet name="Start Here" sheetId="1" r:id="rId1"/>
    <sheet name="Materials" sheetId="2" r:id="rId2"/>
    <sheet name="MP Coding" sheetId="3" r:id="rId3"/>
    <sheet name="UCR Segmentation" sheetId="4" r:id="rId4"/>
    <sheet name="QA Summary"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<sst xmlns="http://schemas.openxmlformats.org/spreadsheetml/2006/main" count="333" uniqueCount="156">
  <si>
    <t>PurrStone v10.2 — Coder02 MP/UCR Phase 1</t>
  </si>
  <si>
    <t>Complete this workbook independently. The same nine blind unique generated-draft/source bundles are issued to both coders. Do not discuss, seek the identity key, or use AI/automated assistance.</t>
  </si>
  <si>
    <t>Package build ID</t>
  </si>
  <si>
    <t>purrstone-v10.2-matched-draft-phase1-r1-20260810</t>
  </si>
  <si>
    <t>Material-set SHA-256</t>
  </si>
  <si>
    <t>67afa8c732e79b430031f6e40678989fd5efe1fd65c0fb26d6527be54b050901</t>
  </si>
  <si>
    <t>Assigned coder ID</t>
  </si>
  <si>
    <t>Coder02</t>
  </si>
  <si>
    <t>Full name</t>
  </si>
  <si>
    <t>Professional / academic background</t>
  </si>
  <si>
    <t>Mechanical design engineer with an academic background in mechanical engineering and experience in product development and design review.</t>
  </si>
  <si>
    <t>Qualitative-research / coding experience</t>
  </si>
  <si>
    <t>No formal qualitative-research training; some experience reviewing user feedback and written evidence in engineering projects.</t>
  </si>
  <si>
    <t>Coding protocol read in full?</t>
  </si>
  <si>
    <t>Yes</t>
  </si>
  <si>
    <t>Worked independently and did not discuss judgments?</t>
  </si>
  <si>
    <t>Did not seek the condition/item identity key?</t>
  </si>
  <si>
    <t>No AI or automated assistance used for judgments/segmentation?</t>
  </si>
  <si>
    <t>Started at (ISO 8601, e.g. 2026-08-10T14:30:00+08:00)</t>
  </si>
  <si>
    <t>Completed at (ISO 8601 with timezone)</t>
  </si>
  <si>
    <t>Typed name / signature</t>
  </si>
  <si>
    <t>Declaration QA</t>
  </si>
  <si>
    <t>1 — Scope
This is a supplementary post-formal matched-draft fidelity analysis. The source universe is the 10 completed formal matched pairs: 45 nominal draft items per condition. Exact duplicate draft–source bundles were removed before human coding, leaving 9 unique blind bundles.</t>
  </si>
  <si>
    <t>2 — Meaning Preservation (MP)
Compare only the generated draft with the displayed participant source. preserved = all material meaning is supported and no important source meaning is contradicted; not_preserved = at least one substantive meaning is added, omitted, or contradicted; uncertain = the supplied material is genuinely insufficient for a confident binary judgment.</t>
  </si>
  <si>
    <t>3 — MP error category
Use none only with preserved. For not_preserved choose added meaning, omitted meaning, contradicted meaning, source ambiguity, or other. For uncertain choose source ambiguity or other. Give a concise source-based rationale and confidence 1–3.</t>
  </si>
  <si>
    <t>4 — UCR Phase 1 segmentation
Split each generated draft into the smallest independently supportable factual or experiential propositions. Enter at least one proposition per blind item, in order, with no gaps. Do not treat the interface phrase “Typed response extract:” as a proposition. Do not label propositions supported/unsupported in Phase 1.</t>
  </si>
  <si>
    <t>5 — Submission
When QA Summary shows PASS, return only this completed .xlsx with the filename unchanged. Do not perform consensus or unblinding. The administrator will reconcile the two independent proposition inventories before issuing Phase 2.</t>
  </si>
  <si>
    <t>Blind materials — generated drafts and participant sources</t>
  </si>
  <si>
    <t>Use only the text shown here. Topic labels are neutral navigation aids. Condition, scenario, run and pair identities are intentionally withheld.</t>
  </si>
  <si>
    <t>Blind item ID</t>
  </si>
  <si>
    <t>Topic</t>
  </si>
  <si>
    <t>Generated draft</t>
  </si>
  <si>
    <t>Participant source</t>
  </si>
  <si>
    <t>MD-001</t>
  </si>
  <si>
    <t>Experience</t>
  </si>
  <si>
    <t>Typed response extract: “It happened on a train.” “The train was packed and it stopped suddenly with a loud screeching noise. I could not move away from the crowd, and I felt trapped and overwhelmed.”</t>
  </si>
  <si>
    <t>SRC-01: It happened on a train.
SRC-02: The train was packed and it stopped suddenly with a loud screeching noise. I could not move away from the crowd, and I felt trapped and overwhelmed.</t>
  </si>
  <si>
    <t>MD-002</t>
  </si>
  <si>
    <t>Typed response extract: “It happened on a train.” “I do not remember anything else about it.”</t>
  </si>
  <si>
    <t>SRC-01: It happened on a train.
SRC-02: I do not remember anything else about it.</t>
  </si>
  <si>
    <t>MD-003</t>
  </si>
  <si>
    <t>Typed response extract: “A recent example was a crowded train that stopped between stations while alarms sounded. The noise and lack of space made me feel trapped and overwhelmed.”</t>
  </si>
  <si>
    <t>SRC-01: A recent example was a crowded train that stopped between stations while alarms sounded. The noise and lack of space made me feel trapped and overwhelmed.</t>
  </si>
  <si>
    <t>MD-004</t>
  </si>
  <si>
    <t>Support concept reaction</t>
  </si>
  <si>
    <t>Typed response extract: “The squeeze interaction seems useful because it would give my hands a focus, and gentle haptics might help me pace my breathing. I would avoid scent because it can be another trigger, and I would want every feature to be optional.”</t>
  </si>
  <si>
    <t>SRC-01: The squeeze interaction seems useful because it would give my hands a focus, and gentle haptics might help me pace my breathing. I would avoid scent because it can be another trigger, and I would want every feature to be optional.</t>
  </si>
  <si>
    <t>MD-005</t>
  </si>
  <si>
    <t>Coping &amp; support</t>
  </si>
  <si>
    <t>Typed response extract: “I covered my ears, focused on slow breathing, and left at the next stop. A quieter carriage or a warning before the alarm would have helped. The repeated announcements did not help because they added more noise.”</t>
  </si>
  <si>
    <t>SRC-01: I covered my ears, focused on slow breathing, and left at the next stop. A quieter carriage or a warning before the alarm would have helped. The repeated announcements did not help because they added more noise.</t>
  </si>
  <si>
    <t>MD-006</t>
  </si>
  <si>
    <t>Typed response extract: “On a crowded train, the carriage stopped between stations while alarms sounded. The noise and crowding made me feel trapped and overwhelmed.”</t>
  </si>
  <si>
    <t>SRC-01: On a crowded train, the carriage stopped between stations while alarms sounded. The noise and crowding made me feel trapped and overwhelmed.</t>
  </si>
  <si>
    <t>MD-007</t>
  </si>
  <si>
    <t>Triggers &amp; signs</t>
  </si>
  <si>
    <t>Typed response extract: “The sharp braking noise, flashing carriage lights, and crowding were the strongest triggers. My shoulders tightened, my heart raced, and I felt panicked.”</t>
  </si>
  <si>
    <t>SRC-01: The sharp braking noise, flashing carriage lights, and crowding were the strongest triggers. My shoulders tightened, my heart raced, and I felt panicked.</t>
  </si>
  <si>
    <t>MD-008</t>
  </si>
  <si>
    <t>Typed response extract: “Last month on a crowded train, the carriage stopped between stations while alarms and announcements were sounding. People were pressed close to me, and the combined noise and crowding made me feel trapped and overwhelmed.”</t>
  </si>
  <si>
    <t>SRC-01: Last month on a crowded train, the carriage stopped between stations while alarms and announcements were sounding. People were pressed close to me, and the combined noise and crowding made me feel trapped and overwhelmed.</t>
  </si>
  <si>
    <t>MD-009</t>
  </si>
  <si>
    <t>Public-use acceptability</t>
  </si>
  <si>
    <t>Typed response extract: “I might use it while commuting if it looked discreet and made no sound. I would be embarrassed by obvious lights, and scent would be a concern for people nearby in a shared space.”</t>
  </si>
  <si>
    <t>SRC-01: I might use it while commuting if it looked discreet and made no sound. I would be embarrassed by obvious lights, and scent would be a concern for people nearby in a shared space.</t>
  </si>
  <si>
    <t>Meaning Preservation coding and UCR item completion</t>
  </si>
  <si>
    <t>Yellow cells are coder inputs. Complete MP first, then segment the same item in UCR Segmentation and confirm completion here. Timestamps must use ISO 8601 with a colon in the timezone offset.</t>
  </si>
  <si>
    <t>MP label</t>
  </si>
  <si>
    <t>Error category</t>
  </si>
  <si>
    <t>Source-based rationale (≥10 chars)</t>
  </si>
  <si>
    <t>Confidence</t>
  </si>
  <si>
    <t>MP completed at</t>
  </si>
  <si>
    <t>UCR segmentation complete?</t>
  </si>
  <si>
    <t>UCR completed at</t>
  </si>
  <si>
    <t>MP row QA</t>
  </si>
  <si>
    <t>UCR item QA</t>
  </si>
  <si>
    <t>preserved</t>
  </si>
  <si>
    <t>none</t>
  </si>
  <si>
    <t>Draft content matches both source extracts in substance and sequence; I found no material mismatch.</t>
  </si>
  <si>
    <t>Both statements correspond directly to the source, including that no further detail was remembered.</t>
  </si>
  <si>
    <t>Content is materially identical to the source, including the train stop, alarms, and reported response to noise and lack of space.</t>
  </si>
  <si>
    <t>All four design-reaction points retain the same meaning and level of uncertainty as the source.</t>
  </si>
  <si>
    <t>The draft carries over the coping actions, helpful alternatives, and the stated reason the announcements were unhelpful.</t>
  </si>
  <si>
    <t>The account is consistent with the source on location, stop, alarms, crowding, and the reported effects.</t>
  </si>
  <si>
    <t>Trigger types and the three reported responses match the source with no added interpretation.</t>
  </si>
  <si>
    <t>The draft preserves the event timing and context as well as the combined-noise-and-crowding explanation.</t>
  </si>
  <si>
    <t>The public-use conditions and concerns match the source; no substantive information is changed.</t>
  </si>
  <si>
    <t>UCR Phase 1 — independent atomic-proposition segmentation</t>
  </si>
  <si>
    <t>Enter the smallest independently supportable factual or experiential propositions. Start at 1, use consecutive rows without gaps, and leave all unused reserve rows blank. Do not enter supported/unsupported labels in Phase 1.</t>
  </si>
  <si>
    <t>Proposition index</t>
  </si>
  <si>
    <t>Atomic proposition</t>
  </si>
  <si>
    <t>Slot QA</t>
  </si>
  <si>
    <t>The event took place on a train.</t>
  </si>
  <si>
    <t>The train was packed with people.</t>
  </si>
  <si>
    <t>The train came to a sudden stop.</t>
  </si>
  <si>
    <t>A loud screeching noise accompanied the stop.</t>
  </si>
  <si>
    <t>The participant was unable to move away from the crowd.</t>
  </si>
  <si>
    <t>The participant described feeling trapped.</t>
  </si>
  <si>
    <t>The participant described feeling overwhelmed.</t>
  </si>
  <si>
    <t>The participant could not recall any further details about it.</t>
  </si>
  <si>
    <t>The participant's example was on a crowded train.</t>
  </si>
  <si>
    <t>The train stopped between stations.</t>
  </si>
  <si>
    <t>Alarms were sounding at the time.</t>
  </si>
  <si>
    <t>The combination of noise and limited space made the participant feel trapped.</t>
  </si>
  <si>
    <t>The combination of noise and limited space made the participant feel overwhelmed.</t>
  </si>
  <si>
    <t>The squeeze interaction was seen as useful because it would give the participant's hands something to focus on.</t>
  </si>
  <si>
    <t>Gentle haptics might help with pacing the participant's breathing.</t>
  </si>
  <si>
    <t>The participant would avoid scent because it could act as another trigger.</t>
  </si>
  <si>
    <t>The participant wanted all features to remain optional.</t>
  </si>
  <si>
    <t>The participant covered their ears.</t>
  </si>
  <si>
    <t>The participant used slow breathing.</t>
  </si>
  <si>
    <t>The participant got off at the next stop.</t>
  </si>
  <si>
    <t>A quieter carriage would have been helpful.</t>
  </si>
  <si>
    <t>Advance warning before the alarm would have been helpful.</t>
  </si>
  <si>
    <t>The repeated announcements were unhelpful because they added further noise.</t>
  </si>
  <si>
    <t>The event took place on a crowded train.</t>
  </si>
  <si>
    <t>The carriage stopped between stations.</t>
  </si>
  <si>
    <t>The combination of noise and crowding made the participant feel trapped.</t>
  </si>
  <si>
    <t>The combination of noise and crowding made the participant feel overwhelmed.</t>
  </si>
  <si>
    <t>Sharp braking noise was identified as a strongest trigger.</t>
  </si>
  <si>
    <t>Flashing carriage lights were identified as a strongest trigger.</t>
  </si>
  <si>
    <t>Crowding was identified as a strongest trigger.</t>
  </si>
  <si>
    <t>The participant's shoulders tightened.</t>
  </si>
  <si>
    <t>The participant's heart started racing.</t>
  </si>
  <si>
    <t>The participant felt panicked.</t>
  </si>
  <si>
    <t>The event occurred last month.</t>
  </si>
  <si>
    <t>Alarms were sounding during the event.</t>
  </si>
  <si>
    <t>Announcements were also sounding during the event.</t>
  </si>
  <si>
    <t>Other people were pressed close to the participant.</t>
  </si>
  <si>
    <t>Combined noise and crowding made the participant feel trapped.</t>
  </si>
  <si>
    <t>Combined noise and crowding made the participant feel overwhelmed.</t>
  </si>
  <si>
    <t>The participant might use the item during a commute if it was discreet and silent.</t>
  </si>
  <si>
    <t>Obvious lights would make the participant feel embarrassed.</t>
  </si>
  <si>
    <t>Scent raised a concern about people nearby in a shared space.</t>
  </si>
  <si>
    <t>Formula QA summary — external validation remains authoritative</t>
  </si>
  <si>
    <t>Check</t>
  </si>
  <si>
    <t>Expected</t>
  </si>
  <si>
    <t>Observed</t>
  </si>
  <si>
    <t>Status</t>
  </si>
  <si>
    <t>Interpretation</t>
  </si>
  <si>
    <t>Blind materials</t>
  </si>
  <si>
    <t>Nine unique generated-draft/source bundles.</t>
  </si>
  <si>
    <t>MP complete rows</t>
  </si>
  <si>
    <t>Every MP row requires label, compatible error category, rationale, confidence and timestamp.</t>
  </si>
  <si>
    <t>UCR items segmented</t>
  </si>
  <si>
    <t>Every blind item requires ≥1 consecutive atomic proposition and item confirmation.</t>
  </si>
  <si>
    <t>Coder/declaration fields</t>
  </si>
  <si>
    <t>PASS</t>
  </si>
  <si>
    <t>Identity, experience, declarations and timestamps are required.</t>
  </si>
  <si>
    <t>Overall Phase 1 QA</t>
  </si>
  <si>
    <t>Return the workbook only when this row is PASS.</t>
  </si>
  <si>
    <t>Blind item</t>
  </si>
  <si>
    <t>Used propositions</t>
  </si>
  <si>
    <t>Gap rows</t>
  </si>
  <si>
    <t>Coder confirmed?</t>
  </si>
  <si>
    <t>Item QA</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</si>
</sst>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quot;T&quot;hh:mm:ss&quot;+08:00&quot;"/>
  </numFmts>
  <fonts count="27">
    <font>
      <sz val="11"/>
      <name val="Carlito"/>
      <charset val="134"/>
    </font>
    <font>
      <b/>
      <sz val="16"/>
      <color rgb="FFFFFFFF"/>
      <name val="Carlito"/>
      <charset val="134"/>
    </font>
    <font>
      <b/>
      <sz val="11"/>
      <color rgb="FFFFFFFF"/>
      <name val="Carlito"/>
      <charset val="134"/>
    </font>
    <font>
      <b/>
      <sz val="11"/>
      <name val="Carlito"/>
      <charset val="134"/>
    </font>
    <font>
      <sz val="10"/>
      <color rgb="FF1F2937"/>
      <name val="Carlito"/>
      <charset val="134"/>
    </font>
    <font>
      <b/>
      <sz val="11"/>
      <color rgb="FF1F2937"/>
      <name val="Carlito"/>
      <charset val="134"/>
    </font>
    <font>
      <sz val="11"/>
      <color rgb="FF1F2937"/>
      <name val="Carlito"/>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2">
    <fill>
      <patternFill patternType="none"/>
    </fill>
    <fill>
      <patternFill patternType="gray125"/>
    </fill>
    <fill>
      <patternFill patternType="solid">
        <fgColor rgb="FF17365D"/>
        <bgColor indexed="64"/>
      </patternFill>
    </fill>
    <fill>
      <patternFill patternType="solid">
        <fgColor rgb="FF0F6B78"/>
        <bgColor indexed="64"/>
      </patternFill>
    </fill>
    <fill>
      <patternFill patternType="solid">
        <fgColor rgb="FFF5F6F8"/>
        <bgColor indexed="64"/>
      </patternFill>
    </fill>
    <fill>
      <patternFill patternType="solid">
        <fgColor rgb="FFD9EAF7"/>
        <bgColor indexed="64"/>
      </patternFill>
    </fill>
    <fill>
      <patternFill patternType="solid">
        <fgColor rgb="FFEEF5FB"/>
        <bgColor indexed="64"/>
      </patternFill>
    </fill>
    <fill>
      <patternFill patternType="solid">
        <fgColor rgb="FFFFF2CC"/>
        <bgColor indexed="64"/>
      </patternFill>
    </fill>
    <fill>
      <patternFill patternType="solid">
        <fgColor rgb="FFF7F7F7"/>
        <bgColor indexed="64"/>
      </patternFill>
    </fill>
    <fill>
      <patternFill patternType="solid">
        <fgColor rgb="FFE2F0D9"/>
        <bgColor indexed="64"/>
      </patternFill>
    </fill>
    <fill>
      <patternFill patternType="solid">
        <fgColor rgb="FFE7E6E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style="thin">
        <color rgb="FFCBD5E1"/>
      </left>
      <right style="thin">
        <color rgb="FFCBD5E1"/>
      </right>
      <top style="thin">
        <color rgb="FFCBD5E1"/>
      </top>
      <bottom style="thin">
        <color rgb="FFCBD5E1"/>
      </bottom>
      <diagonal/>
    </border>
    <border>
      <left style="thin">
        <color rgb="FF9FBAD0"/>
      </left>
      <right/>
      <top style="thin">
        <color rgb="FF9FBAD0"/>
      </top>
      <bottom style="thin">
        <color rgb="FF9FBAD0"/>
      </bottom>
      <diagonal/>
    </border>
    <border>
      <left/>
      <right/>
      <top style="thin">
        <color rgb="FF9FBAD0"/>
      </top>
      <bottom style="thin">
        <color rgb="FF9FBAD0"/>
      </bottom>
      <diagonal/>
    </border>
    <border>
      <left/>
      <right style="thin">
        <color rgb="FF9FBAD0"/>
      </right>
      <top style="thin">
        <color rgb="FF9FBAD0"/>
      </top>
      <bottom style="thin">
        <color rgb="FF9FBAD0"/>
      </bottom>
      <diagonal/>
    </border>
    <border>
      <left/>
      <right style="thin">
        <color rgb="FFD0D5DD"/>
      </right>
      <top/>
      <bottom style="thin">
        <color rgb="FFD0D5DD"/>
      </bottom>
      <diagonal/>
    </border>
    <border>
      <left style="thin">
        <color rgb="FFD0D5DD"/>
      </left>
      <right style="thin">
        <color rgb="FFD0D5DD"/>
      </right>
      <top/>
      <bottom style="thin">
        <color rgb="FFD0D5DD"/>
      </bottom>
      <diagonal/>
    </border>
    <border>
      <left style="thin">
        <color rgb="FFD0D5DD"/>
      </left>
      <right/>
      <top/>
      <bottom style="thin">
        <color rgb="FFD0D5DD"/>
      </bottom>
      <diagonal/>
    </border>
    <border>
      <left/>
      <right style="thin">
        <color rgb="FFD0D5DD"/>
      </right>
      <top style="medium">
        <color rgb="FF0F6B78"/>
      </top>
      <bottom style="thin">
        <color rgb="FFD0D5DD"/>
      </bottom>
      <diagonal/>
    </border>
    <border>
      <left style="thin">
        <color rgb="FFD0D5DD"/>
      </left>
      <right style="thin">
        <color rgb="FFD0D5DD"/>
      </right>
      <top style="medium">
        <color rgb="FF0F6B78"/>
      </top>
      <bottom style="thin">
        <color rgb="FFD0D5DD"/>
      </bottom>
      <diagonal/>
    </border>
    <border>
      <left/>
      <right style="thin">
        <color rgb="FFD0D5DD"/>
      </right>
      <top style="thin">
        <color rgb="FFD0D5DD"/>
      </top>
      <bottom style="thin">
        <color rgb="FFD0D5DD"/>
      </bottom>
      <diagonal/>
    </border>
    <border>
      <left style="thin">
        <color rgb="FFD0D5DD"/>
      </left>
      <right style="thin">
        <color rgb="FFD0D5DD"/>
      </right>
      <top style="thin">
        <color rgb="FFD0D5DD"/>
      </top>
      <bottom style="thin">
        <color rgb="FFD0D5DD"/>
      </bottom>
      <diagonal/>
    </border>
    <border>
      <left style="thin">
        <color rgb="FFD0D5DD"/>
      </left>
      <right/>
      <top style="thin">
        <color rgb="FFD0D5DD"/>
      </top>
      <bottom style="thin">
        <color rgb="FFD0D5DD"/>
      </bottom>
      <diagonal/>
    </border>
    <border>
      <left/>
      <right style="thin">
        <color rgb="FFD0D5DD"/>
      </right>
      <top style="thin">
        <color rgb="FFD0D5DD"/>
      </top>
      <bottom/>
      <diagonal/>
    </border>
    <border>
      <left style="thin">
        <color rgb="FFD0D5DD"/>
      </left>
      <right style="thin">
        <color rgb="FFD0D5DD"/>
      </right>
      <top style="thin">
        <color rgb="FFD0D5DD"/>
      </top>
      <bottom/>
      <diagonal/>
    </border>
    <border>
      <left style="thin">
        <color rgb="FFD0D5DD"/>
      </left>
      <right/>
      <top style="thin">
        <color rgb="FFD0D5DD"/>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7" fillId="0" borderId="0">
      <alignment vertical="center"/>
    </xf>
    <xf numFmtId="43"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11" borderId="16"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17" applyNumberFormat="0" applyFill="0" applyAlignment="0" applyProtection="0">
      <alignment vertical="center"/>
    </xf>
    <xf numFmtId="0" fontId="14" fillId="0" borderId="17" applyNumberFormat="0" applyFill="0" applyAlignment="0" applyProtection="0">
      <alignment vertical="center"/>
    </xf>
    <xf numFmtId="0" fontId="15" fillId="0" borderId="18" applyNumberFormat="0" applyFill="0" applyAlignment="0" applyProtection="0">
      <alignment vertical="center"/>
    </xf>
    <xf numFmtId="0" fontId="15" fillId="0" borderId="0" applyNumberFormat="0" applyFill="0" applyBorder="0" applyAlignment="0" applyProtection="0">
      <alignment vertical="center"/>
    </xf>
    <xf numFmtId="0" fontId="16" fillId="12" borderId="19" applyNumberFormat="0" applyAlignment="0" applyProtection="0">
      <alignment vertical="center"/>
    </xf>
    <xf numFmtId="0" fontId="17" fillId="13" borderId="20" applyNumberFormat="0" applyAlignment="0" applyProtection="0">
      <alignment vertical="center"/>
    </xf>
    <xf numFmtId="0" fontId="18" fillId="13" borderId="19" applyNumberFormat="0" applyAlignment="0" applyProtection="0">
      <alignment vertical="center"/>
    </xf>
    <xf numFmtId="0" fontId="19" fillId="14" borderId="21" applyNumberFormat="0" applyAlignment="0" applyProtection="0">
      <alignment vertical="center"/>
    </xf>
    <xf numFmtId="0" fontId="20" fillId="0" borderId="22" applyNumberFormat="0" applyFill="0" applyAlignment="0" applyProtection="0">
      <alignment vertical="center"/>
    </xf>
    <xf numFmtId="0" fontId="21" fillId="0" borderId="23" applyNumberFormat="0" applyFill="0" applyAlignment="0" applyProtection="0">
      <alignment vertical="center"/>
    </xf>
    <xf numFmtId="0" fontId="22" fillId="15" borderId="0" applyNumberFormat="0" applyBorder="0" applyAlignment="0" applyProtection="0">
      <alignment vertical="center"/>
    </xf>
    <xf numFmtId="0" fontId="23"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5" fillId="33" borderId="0" applyNumberFormat="0" applyBorder="0" applyAlignment="0" applyProtection="0">
      <alignment vertical="center"/>
    </xf>
    <xf numFmtId="0" fontId="25" fillId="34" borderId="0" applyNumberFormat="0" applyBorder="0" applyAlignment="0" applyProtection="0">
      <alignment vertical="center"/>
    </xf>
    <xf numFmtId="0" fontId="26" fillId="35" borderId="0" applyNumberFormat="0" applyBorder="0" applyAlignment="0" applyProtection="0">
      <alignment vertical="center"/>
    </xf>
    <xf numFmtId="0" fontId="26" fillId="36" borderId="0" applyNumberFormat="0" applyBorder="0" applyAlignment="0" applyProtection="0">
      <alignment vertical="center"/>
    </xf>
    <xf numFmtId="0" fontId="25" fillId="37" borderId="0" applyNumberFormat="0" applyBorder="0" applyAlignment="0" applyProtection="0">
      <alignment vertical="center"/>
    </xf>
    <xf numFmtId="0" fontId="25" fillId="38" borderId="0" applyNumberFormat="0" applyBorder="0" applyAlignment="0" applyProtection="0">
      <alignment vertical="center"/>
    </xf>
    <xf numFmtId="0" fontId="26" fillId="39" borderId="0" applyNumberFormat="0" applyBorder="0" applyAlignment="0" applyProtection="0">
      <alignment vertical="center"/>
    </xf>
    <xf numFmtId="0" fontId="26" fillId="40" borderId="0" applyNumberFormat="0" applyBorder="0" applyAlignment="0" applyProtection="0">
      <alignment vertical="center"/>
    </xf>
    <xf numFmtId="0" fontId="25" fillId="41" borderId="0" applyNumberFormat="0" applyBorder="0" applyAlignment="0" applyProtection="0">
      <alignment vertical="center"/>
    </xf>
    <xf numFmtId="0" fontId="0" fillId="0" borderId="0"/>
  </cellStyleXfs>
  <cellXfs count="52">
    <xf numFmtId="0" fontId="0" fillId="0" borderId="0" xfId="49"/>
    <xf numFmtId="0" fontId="1" fillId="2" borderId="0" xfId="49" applyNumberFormat="1" applyFont="1" applyFill="1" applyBorder="1" applyAlignment="1">
      <alignment horizontal="left" vertical="center" wrapText="1"/>
    </xf>
    <xf numFmtId="0" fontId="2" fillId="3" borderId="1" xfId="49" applyNumberFormat="1" applyFont="1" applyFill="1" applyBorder="1" applyAlignment="1">
      <alignment horizontal="center" vertical="center" wrapText="1"/>
    </xf>
    <xf numFmtId="0" fontId="0" fillId="4" borderId="1" xfId="49" applyNumberFormat="1" applyFont="1" applyFill="1" applyBorder="1" applyAlignment="1">
      <alignment wrapText="1"/>
    </xf>
    <xf numFmtId="0" fontId="3" fillId="4" borderId="1" xfId="49" applyNumberFormat="1" applyFont="1" applyFill="1" applyBorder="1" applyAlignment="1">
      <alignment horizontal="center" vertical="center"/>
    </xf>
    <xf numFmtId="0" fontId="0" fillId="5" borderId="1" xfId="49" applyNumberFormat="1" applyFont="1" applyFill="1" applyBorder="1" applyAlignment="1">
      <alignment wrapText="1"/>
    </xf>
    <xf numFmtId="0" fontId="3" fillId="4" borderId="1" xfId="49" applyNumberFormat="1" applyFont="1" applyFill="1" applyBorder="1"/>
    <xf numFmtId="0" fontId="0" fillId="4" borderId="1" xfId="49" applyNumberFormat="1" applyFont="1" applyFill="1" applyBorder="1" applyAlignment="1">
      <alignment horizontal="center"/>
    </xf>
    <xf numFmtId="0" fontId="4" fillId="5" borderId="2" xfId="49" applyNumberFormat="1" applyFont="1" applyFill="1" applyBorder="1" applyAlignment="1">
      <alignment vertical="center" wrapText="1"/>
    </xf>
    <xf numFmtId="0" fontId="4" fillId="5" borderId="3" xfId="49" applyNumberFormat="1" applyFont="1" applyFill="1" applyBorder="1" applyAlignment="1">
      <alignment vertical="center" wrapText="1"/>
    </xf>
    <xf numFmtId="0" fontId="4" fillId="5" borderId="4" xfId="49" applyNumberFormat="1" applyFont="1" applyFill="1" applyBorder="1" applyAlignment="1">
      <alignment vertical="center" wrapText="1"/>
    </xf>
    <xf numFmtId="0" fontId="2" fillId="3" borderId="5" xfId="49" applyNumberFormat="1" applyFont="1" applyFill="1" applyBorder="1" applyAlignment="1">
      <alignment horizontal="center" vertical="center" wrapText="1"/>
    </xf>
    <xf numFmtId="0" fontId="2" fillId="3" borderId="6" xfId="49" applyNumberFormat="1" applyFont="1" applyFill="1" applyBorder="1" applyAlignment="1">
      <alignment horizontal="center" vertical="center" wrapText="1"/>
    </xf>
    <xf numFmtId="0" fontId="2" fillId="3" borderId="7" xfId="49" applyNumberFormat="1" applyFont="1" applyFill="1" applyBorder="1" applyAlignment="1">
      <alignment horizontal="center" vertical="center" wrapText="1"/>
    </xf>
    <xf numFmtId="0" fontId="0" fillId="6" borderId="8" xfId="49" applyNumberFormat="1" applyFont="1" applyFill="1" applyBorder="1" applyAlignment="1">
      <alignment horizontal="center" vertical="top"/>
    </xf>
    <xf numFmtId="0" fontId="0" fillId="6" borderId="9" xfId="49" applyNumberFormat="1" applyFont="1" applyFill="1" applyBorder="1" applyAlignment="1">
      <alignment horizontal="center" vertical="top"/>
    </xf>
    <xf numFmtId="0" fontId="0" fillId="7" borderId="9" xfId="49" applyNumberFormat="1" applyFont="1" applyFill="1" applyBorder="1" applyAlignment="1">
      <alignment vertical="top" wrapText="1"/>
    </xf>
    <xf numFmtId="0" fontId="0" fillId="4" borderId="9" xfId="49" applyNumberFormat="1" applyFont="1" applyFill="1" applyBorder="1" applyAlignment="1">
      <alignment horizontal="center" vertical="center"/>
    </xf>
    <xf numFmtId="0" fontId="0" fillId="6" borderId="10" xfId="49" applyNumberFormat="1" applyFont="1" applyFill="1" applyBorder="1" applyAlignment="1">
      <alignment horizontal="center" vertical="top"/>
    </xf>
    <xf numFmtId="0" fontId="0" fillId="6" borderId="11" xfId="49" applyNumberFormat="1" applyFont="1" applyFill="1" applyBorder="1" applyAlignment="1">
      <alignment horizontal="center" vertical="top"/>
    </xf>
    <xf numFmtId="0" fontId="0" fillId="7" borderId="11" xfId="49" applyNumberFormat="1" applyFont="1" applyFill="1" applyBorder="1" applyAlignment="1">
      <alignment vertical="top" wrapText="1"/>
    </xf>
    <xf numFmtId="0" fontId="0" fillId="4" borderId="12" xfId="49" applyNumberFormat="1" applyFont="1" applyFill="1" applyBorder="1" applyAlignment="1">
      <alignment horizontal="center" vertical="center"/>
    </xf>
    <xf numFmtId="0" fontId="0" fillId="8" borderId="8" xfId="49" applyNumberFormat="1" applyFont="1" applyFill="1" applyBorder="1" applyAlignment="1">
      <alignment horizontal="center" vertical="top"/>
    </xf>
    <xf numFmtId="0" fontId="0" fillId="8" borderId="9" xfId="49" applyNumberFormat="1" applyFont="1" applyFill="1" applyBorder="1" applyAlignment="1">
      <alignment horizontal="center" vertical="top"/>
    </xf>
    <xf numFmtId="0" fontId="0" fillId="8" borderId="10" xfId="49" applyNumberFormat="1" applyFont="1" applyFill="1" applyBorder="1" applyAlignment="1">
      <alignment horizontal="center" vertical="top"/>
    </xf>
    <xf numFmtId="0" fontId="0" fillId="8" borderId="11" xfId="49" applyNumberFormat="1" applyFont="1" applyFill="1" applyBorder="1" applyAlignment="1">
      <alignment horizontal="center" vertical="top"/>
    </xf>
    <xf numFmtId="0" fontId="0" fillId="6" borderId="13" xfId="49" applyNumberFormat="1" applyFont="1" applyFill="1" applyBorder="1" applyAlignment="1">
      <alignment horizontal="center" vertical="top"/>
    </xf>
    <xf numFmtId="0" fontId="0" fillId="6" borderId="14" xfId="49" applyNumberFormat="1" applyFont="1" applyFill="1" applyBorder="1" applyAlignment="1">
      <alignment horizontal="center" vertical="top"/>
    </xf>
    <xf numFmtId="0" fontId="0" fillId="7" borderId="14" xfId="49" applyNumberFormat="1" applyFont="1" applyFill="1" applyBorder="1" applyAlignment="1">
      <alignment vertical="top" wrapText="1"/>
    </xf>
    <xf numFmtId="0" fontId="0" fillId="4" borderId="15" xfId="49" applyNumberFormat="1" applyFont="1" applyFill="1" applyBorder="1" applyAlignment="1">
      <alignment horizontal="center" vertical="center"/>
    </xf>
    <xf numFmtId="0" fontId="0" fillId="4" borderId="10" xfId="49" applyNumberFormat="1" applyFont="1" applyFill="1" applyBorder="1" applyAlignment="1">
      <alignment vertical="top" wrapText="1"/>
    </xf>
    <xf numFmtId="0" fontId="0" fillId="4" borderId="11" xfId="49" applyNumberFormat="1" applyFont="1" applyFill="1" applyBorder="1" applyAlignment="1">
      <alignment vertical="top" wrapText="1"/>
    </xf>
    <xf numFmtId="176" fontId="0" fillId="7" borderId="11" xfId="49" applyNumberFormat="1" applyFont="1" applyFill="1" applyBorder="1" applyAlignment="1">
      <alignment vertical="top" wrapText="1"/>
    </xf>
    <xf numFmtId="0" fontId="3" fillId="4" borderId="11" xfId="49" applyNumberFormat="1" applyFont="1" applyFill="1" applyBorder="1" applyAlignment="1">
      <alignment horizontal="center" vertical="center"/>
    </xf>
    <xf numFmtId="0" fontId="3" fillId="4" borderId="12" xfId="49" applyNumberFormat="1" applyFont="1" applyFill="1" applyBorder="1" applyAlignment="1">
      <alignment horizontal="center" vertical="center"/>
    </xf>
    <xf numFmtId="0" fontId="0" fillId="4" borderId="13" xfId="49" applyNumberFormat="1" applyFont="1" applyFill="1" applyBorder="1" applyAlignment="1">
      <alignment vertical="top" wrapText="1"/>
    </xf>
    <xf numFmtId="0" fontId="0" fillId="4" borderId="14" xfId="49" applyNumberFormat="1" applyFont="1" applyFill="1" applyBorder="1" applyAlignment="1">
      <alignment vertical="top" wrapText="1"/>
    </xf>
    <xf numFmtId="176" fontId="0" fillId="7" borderId="14" xfId="49" applyNumberFormat="1" applyFont="1" applyFill="1" applyBorder="1" applyAlignment="1">
      <alignment vertical="top" wrapText="1"/>
    </xf>
    <xf numFmtId="0" fontId="3" fillId="4" borderId="14" xfId="49" applyNumberFormat="1" applyFont="1" applyFill="1" applyBorder="1" applyAlignment="1">
      <alignment horizontal="center" vertical="center"/>
    </xf>
    <xf numFmtId="0" fontId="3" fillId="4" borderId="15" xfId="49" applyNumberFormat="1" applyFont="1" applyFill="1" applyBorder="1" applyAlignment="1">
      <alignment horizontal="center" vertical="center"/>
    </xf>
    <xf numFmtId="0" fontId="0" fillId="4" borderId="1" xfId="49" applyNumberFormat="1" applyFont="1" applyFill="1" applyBorder="1" applyAlignment="1">
      <alignment vertical="top" wrapText="1"/>
    </xf>
    <xf numFmtId="0" fontId="0" fillId="5" borderId="1" xfId="49" applyNumberFormat="1" applyFont="1" applyFill="1" applyBorder="1" applyAlignment="1">
      <alignment vertical="top" wrapText="1"/>
    </xf>
    <xf numFmtId="0" fontId="0" fillId="9" borderId="1" xfId="49" applyNumberFormat="1" applyFont="1" applyFill="1" applyBorder="1" applyAlignment="1">
      <alignment vertical="top" wrapText="1"/>
    </xf>
    <xf numFmtId="0" fontId="0" fillId="0" borderId="0" xfId="49" applyNumberFormat="1" applyFont="1" applyFill="1" applyBorder="1" applyAlignment="1">
      <alignment vertical="center"/>
    </xf>
    <xf numFmtId="0" fontId="5" fillId="10" borderId="5" xfId="49" applyNumberFormat="1" applyFont="1" applyFill="1" applyBorder="1" applyAlignment="1">
      <alignment vertical="center" wrapText="1"/>
    </xf>
    <xf numFmtId="0" fontId="6" fillId="4" borderId="7" xfId="49" applyNumberFormat="1" applyFont="1" applyFill="1" applyBorder="1" applyAlignment="1">
      <alignment vertical="center" wrapText="1"/>
    </xf>
    <xf numFmtId="0" fontId="5" fillId="10" borderId="10" xfId="49" applyNumberFormat="1" applyFont="1" applyFill="1" applyBorder="1" applyAlignment="1">
      <alignment vertical="center" wrapText="1"/>
    </xf>
    <xf numFmtId="0" fontId="6" fillId="4" borderId="12" xfId="49" applyNumberFormat="1" applyFont="1" applyFill="1" applyBorder="1" applyAlignment="1">
      <alignment vertical="center" wrapText="1"/>
    </xf>
    <xf numFmtId="0" fontId="6" fillId="7" borderId="12" xfId="49" applyNumberFormat="1" applyFont="1" applyFill="1" applyBorder="1" applyAlignment="1">
      <alignment vertical="center" wrapText="1"/>
    </xf>
    <xf numFmtId="176" fontId="6" fillId="7" borderId="12" xfId="49" applyNumberFormat="1" applyFont="1" applyFill="1" applyBorder="1" applyAlignment="1">
      <alignment vertical="center" wrapText="1"/>
    </xf>
    <xf numFmtId="49" fontId="6" fillId="7" borderId="12" xfId="49" applyNumberFormat="1" applyFont="1" applyFill="1" applyBorder="1" applyAlignment="1">
      <alignment vertical="center" wrapText="1"/>
    </xf>
    <xf numFmtId="0" fontId="5" fillId="10" borderId="13" xfId="49" applyNumberFormat="1" applyFont="1" applyFill="1" applyBorder="1" applyAlignment="1">
      <alignment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9">
    <dxf>
      <font>
        <b val="1"/>
        <color rgb="FF006100"/>
      </font>
      <fill>
        <patternFill patternType="solid">
          <bgColor rgb="FFE2F0D9"/>
        </patternFill>
      </fill>
    </dxf>
    <dxf>
      <font>
        <b val="1"/>
        <color rgb="FF9C0006"/>
      </font>
      <fill>
        <patternFill patternType="solid">
          <bgColor rgb="FFFCE4D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8"/>
      <tableStyleElement type="headerRow" dxfId="7"/>
      <tableStyleElement type="totalRow" dxfId="6"/>
      <tableStyleElement type="firstColumn" dxfId="5"/>
      <tableStyleElement type="lastColumn" dxfId="4"/>
      <tableStyleElement type="firstRowStripe" dxfId="3"/>
      <tableStyleElement type="firstColumnStripe" dxfId="2"/>
    </tableStyle>
    <tableStyle name="PivotStylePreset2_Accent1" table="0" count="10" xr9:uid="{267968C8-6FFD-4C36-ACC1-9EA1FD1885CA}">
      <tableStyleElement type="headerRow" dxfId="18"/>
      <tableStyleElement type="totalRow" dxfId="17"/>
      <tableStyleElement type="firstRowStripe" dxfId="16"/>
      <tableStyleElement type="firstColumnStripe" dxfId="15"/>
      <tableStyleElement type="firstSubtotalRow" dxfId="14"/>
      <tableStyleElement type="secondSubtotalRow" dxfId="13"/>
      <tableStyleElement type="firstRowSubheading" dxfId="12"/>
      <tableStyleElement type="secondRowSubheading" dxfId="11"/>
      <tableStyleElement type="pageFieldLabels" dxfId="10"/>
      <tableStyleElement type="pageFieldValues" dxfId="9"/>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Materials_Coder02" displayName="Materials_Coder02" ref="A5:D14" totalsRowShown="0">
  <tableColumns count="4">
    <tableColumn id="1" name="Blind item ID"/>
    <tableColumn id="2" name="Topic"/>
    <tableColumn id="3" name="Generated draft"/>
    <tableColumn id="4" name="Participant source"/>
  </tableColumns>
  <tableStyleInfo name="TableStyleMedium2" showFirstColumn="0" showLastColumn="0" showRowStripes="1" showColumnStripes="0"/>
</table>
</file>

<file path=xl/tables/table2.xml><?xml version="1.0" encoding="utf-8"?>
<table xmlns="http://schemas.openxmlformats.org/spreadsheetml/2006/main" id="2" name="MPCoding_Coder02" displayName="MPCoding_Coder02" ref="A5:K14" totalsRowShown="0">
  <tableColumns count="11">
    <tableColumn id="1" name="Blind item ID"/>
    <tableColumn id="2" name="Topic"/>
    <tableColumn id="3" name="MP label"/>
    <tableColumn id="4" name="Error category"/>
    <tableColumn id="5" name="Source-based rationale (≥10 chars)"/>
    <tableColumn id="6" name="Confidence"/>
    <tableColumn id="7" name="MP completed at"/>
    <tableColumn id="8" name="UCR segmentation complete?"/>
    <tableColumn id="9" name="UCR completed at"/>
    <tableColumn id="10" name="MP row QA"/>
    <tableColumn id="11" name="UCR item QA"/>
  </tableColumns>
  <tableStyleInfo name="TableStyleMedium2" showFirstColumn="0" showLastColumn="0" showRowStripes="1" showColumnStripes="0"/>
</table>
</file>

<file path=xl/tables/table3.xml><?xml version="1.0" encoding="utf-8"?>
<table xmlns="http://schemas.openxmlformats.org/spreadsheetml/2006/main" id="3" name="UCRSeg_Coder02" displayName="UCRSeg_Coder02" ref="A5:D113" totalsRowShown="0">
  <tableColumns count="4">
    <tableColumn id="1" name="Blind item ID"/>
    <tableColumn id="2" name="Proposition index"/>
    <tableColumn id="3" name="Atomic proposition"/>
    <tableColumn id="4" name="Slot QA"/>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0"/>
  <sheetViews>
    <sheetView showGridLines="0" tabSelected="1" workbookViewId="0">
      <selection activeCell="B18" sqref="B18"/>
    </sheetView>
  </sheetViews>
  <sheetFormatPr defaultColWidth="9" defaultRowHeight="13.8" outlineLevelCol="5"/>
  <cols>
    <col min="1" max="1" width="54" customWidth="1"/>
    <col min="2" max="2" width="78" customWidth="1"/>
    <col min="3" max="6" width="12" customWidth="1"/>
  </cols>
  <sheetData>
    <row r="1" ht="28" customHeight="1" spans="1:6">
      <c r="A1" s="1" t="s">
        <v>0</v>
      </c>
      <c r="B1" s="1"/>
      <c r="C1" s="1"/>
      <c r="D1" s="1"/>
      <c r="E1" s="1"/>
      <c r="F1" s="1"/>
    </row>
    <row r="2" ht="28" customHeight="1" spans="1:6">
      <c r="A2" s="1"/>
      <c r="B2" s="1"/>
      <c r="C2" s="1"/>
      <c r="D2" s="1"/>
      <c r="E2" s="1"/>
      <c r="F2" s="1"/>
    </row>
    <row r="3" spans="1:6">
      <c r="A3" s="43"/>
      <c r="B3" s="43"/>
      <c r="C3" s="43"/>
      <c r="D3" s="43"/>
      <c r="E3" s="43"/>
      <c r="F3" s="43"/>
    </row>
    <row r="4" spans="1:6">
      <c r="A4" s="8" t="s">
        <v>1</v>
      </c>
      <c r="B4" s="9"/>
      <c r="C4" s="9"/>
      <c r="D4" s="9"/>
      <c r="E4" s="9"/>
      <c r="F4" s="10"/>
    </row>
    <row r="5" spans="1:6">
      <c r="A5" s="43"/>
      <c r="B5" s="43"/>
      <c r="C5" s="43"/>
      <c r="D5" s="43"/>
      <c r="E5" s="43"/>
      <c r="F5" s="43"/>
    </row>
    <row r="6" spans="1:6">
      <c r="A6" s="44" t="s">
        <v>2</v>
      </c>
      <c r="B6" s="45" t="s">
        <v>3</v>
      </c>
      <c r="C6" s="43"/>
      <c r="D6" s="43"/>
      <c r="E6" s="43"/>
      <c r="F6" s="43"/>
    </row>
    <row r="7" spans="1:6">
      <c r="A7" s="46" t="s">
        <v>4</v>
      </c>
      <c r="B7" s="47" t="s">
        <v>5</v>
      </c>
      <c r="C7" s="43"/>
      <c r="D7" s="43"/>
      <c r="E7" s="43"/>
      <c r="F7" s="43"/>
    </row>
    <row r="8" spans="1:6">
      <c r="A8" s="46" t="s">
        <v>6</v>
      </c>
      <c r="B8" s="47" t="s">
        <v>7</v>
      </c>
      <c r="C8" s="43"/>
      <c r="D8" s="43"/>
      <c r="E8" s="43"/>
      <c r="F8" s="43"/>
    </row>
    <row r="9" spans="1:6">
      <c r="A9" s="46" t="s">
        <v>8</v>
      </c>
      <c r="B9" s="48" t="s">
        <v>7</v>
      </c>
      <c r="C9" s="43"/>
      <c r="D9" s="43"/>
      <c r="E9" s="43"/>
      <c r="F9" s="43"/>
    </row>
    <row r="10" ht="27.6" spans="1:6">
      <c r="A10" s="46" t="s">
        <v>9</v>
      </c>
      <c r="B10" s="48" t="s">
        <v>10</v>
      </c>
      <c r="C10" s="43"/>
      <c r="D10" s="43"/>
      <c r="E10" s="43"/>
      <c r="F10" s="43"/>
    </row>
    <row r="11" ht="27.6" spans="1:6">
      <c r="A11" s="46" t="s">
        <v>11</v>
      </c>
      <c r="B11" s="48" t="s">
        <v>12</v>
      </c>
      <c r="C11" s="43"/>
      <c r="D11" s="43"/>
      <c r="E11" s="43"/>
      <c r="F11" s="43"/>
    </row>
    <row r="12" spans="1:6">
      <c r="A12" s="46" t="s">
        <v>13</v>
      </c>
      <c r="B12" s="48" t="s">
        <v>14</v>
      </c>
      <c r="C12" s="43"/>
      <c r="D12" s="43"/>
      <c r="E12" s="43"/>
      <c r="F12" s="43"/>
    </row>
    <row r="13" spans="1:6">
      <c r="A13" s="46" t="s">
        <v>15</v>
      </c>
      <c r="B13" s="48" t="s">
        <v>14</v>
      </c>
      <c r="C13" s="43"/>
      <c r="D13" s="43"/>
      <c r="E13" s="43"/>
      <c r="F13" s="43"/>
    </row>
    <row r="14" spans="1:6">
      <c r="A14" s="46" t="s">
        <v>16</v>
      </c>
      <c r="B14" s="48" t="s">
        <v>14</v>
      </c>
      <c r="C14" s="43"/>
      <c r="D14" s="43"/>
      <c r="E14" s="43"/>
      <c r="F14" s="43"/>
    </row>
    <row r="15" ht="27.6" spans="1:6">
      <c r="A15" s="46" t="s">
        <v>17</v>
      </c>
      <c r="B15" s="48" t="s">
        <v>14</v>
      </c>
      <c r="C15" s="43"/>
      <c r="D15" s="43"/>
      <c r="E15" s="43"/>
      <c r="F15" s="43"/>
    </row>
    <row r="16" spans="1:6">
      <c r="A16" s="46" t="s">
        <v>18</v>
      </c>
      <c r="B16" s="49">
        <v>46244.6071412037</v>
      </c>
      <c r="C16" s="43"/>
      <c r="D16" s="43"/>
      <c r="E16" s="43"/>
      <c r="F16" s="43"/>
    </row>
    <row r="17" spans="1:6">
      <c r="A17" s="46" t="s">
        <v>19</v>
      </c>
      <c r="B17" s="49">
        <v>46244.6548032407</v>
      </c>
      <c r="C17" s="43"/>
      <c r="D17" s="43"/>
      <c r="E17" s="43"/>
      <c r="F17" s="43"/>
    </row>
    <row r="18" spans="1:6">
      <c r="A18" s="46" t="s">
        <v>20</v>
      </c>
      <c r="B18" s="50" t="s">
        <v>7</v>
      </c>
      <c r="C18" s="43"/>
      <c r="D18" s="43"/>
      <c r="E18" s="43"/>
      <c r="F18" s="43"/>
    </row>
    <row r="19" spans="1:6">
      <c r="A19" s="51" t="s">
        <v>21</v>
      </c>
      <c r="B19" s="39" t="str">
        <f>IF(AND(LEN(TRIM(B9))&gt;=2,LEN(TRIM(B10))&gt;=5,LEN(TRIM(B11))&gt;=5,B12="Yes",B13="Yes",B14="Yes",B15="Yes",OR(AND(ISNUMBER(B16),B16&gt;=DATE(2020,1,1)),IFERROR(AND(LEN(B16)&gt;=20,ISNUMBER(SEARCH("T",B16)),OR(RIGHT(B16,1)="Z",MID(B16,LEN(B16)-5,1)="+",MID(B16,LEN(B16)-5,1)="-")),FALSE)),OR(AND(ISNUMBER(B17),B17&gt;=DATE(2020,1,1)),IFERROR(AND(LEN(B17)&gt;=20,ISNUMBER(SEARCH("T",B17)),OR(RIGHT(B17,1)="Z",MID(B17,LEN(B17)-5,1)="+",MID(B17,LEN(B17)-5,1)="-")),FALSE)),LEN(TRIM(B18))&gt;=2),"PASS","INCOMPLETE")</f>
        <v>PASS</v>
      </c>
      <c r="C19" s="43"/>
      <c r="D19" s="43"/>
      <c r="E19" s="43"/>
      <c r="F19" s="43"/>
    </row>
    <row r="20" spans="1:6">
      <c r="A20" s="43"/>
      <c r="B20" s="43"/>
      <c r="C20" s="43"/>
      <c r="D20" s="43"/>
      <c r="E20" s="43"/>
      <c r="F20" s="43"/>
    </row>
    <row r="21" spans="1:6">
      <c r="A21" s="43"/>
      <c r="B21" s="43"/>
      <c r="C21" s="43"/>
      <c r="D21" s="43"/>
      <c r="E21" s="43"/>
      <c r="F21" s="43"/>
    </row>
    <row r="22" ht="52" customHeight="1" spans="1:6">
      <c r="A22" s="8" t="s">
        <v>22</v>
      </c>
      <c r="B22" s="9"/>
      <c r="C22" s="9"/>
      <c r="D22" s="9"/>
      <c r="E22" s="9"/>
      <c r="F22" s="10"/>
    </row>
    <row r="23" spans="1:6">
      <c r="A23" s="43"/>
      <c r="B23" s="43"/>
      <c r="C23" s="43"/>
      <c r="D23" s="43"/>
      <c r="E23" s="43"/>
      <c r="F23" s="43"/>
    </row>
    <row r="24" ht="52" customHeight="1" spans="1:6">
      <c r="A24" s="8" t="s">
        <v>23</v>
      </c>
      <c r="B24" s="9"/>
      <c r="C24" s="9"/>
      <c r="D24" s="9"/>
      <c r="E24" s="9"/>
      <c r="F24" s="10"/>
    </row>
    <row r="25" spans="1:6">
      <c r="A25" s="43"/>
      <c r="B25" s="43"/>
      <c r="C25" s="43"/>
      <c r="D25" s="43"/>
      <c r="E25" s="43"/>
      <c r="F25" s="43"/>
    </row>
    <row r="26" ht="52" customHeight="1" spans="1:6">
      <c r="A26" s="8" t="s">
        <v>24</v>
      </c>
      <c r="B26" s="9"/>
      <c r="C26" s="9"/>
      <c r="D26" s="9"/>
      <c r="E26" s="9"/>
      <c r="F26" s="10"/>
    </row>
    <row r="27" spans="1:6">
      <c r="A27" s="43"/>
      <c r="B27" s="43"/>
      <c r="C27" s="43"/>
      <c r="D27" s="43"/>
      <c r="E27" s="43"/>
      <c r="F27" s="43"/>
    </row>
    <row r="28" ht="52" customHeight="1" spans="1:6">
      <c r="A28" s="8" t="s">
        <v>25</v>
      </c>
      <c r="B28" s="9"/>
      <c r="C28" s="9"/>
      <c r="D28" s="9"/>
      <c r="E28" s="9"/>
      <c r="F28" s="10"/>
    </row>
    <row r="29" spans="1:6">
      <c r="A29" s="43"/>
      <c r="B29" s="43"/>
      <c r="C29" s="43"/>
      <c r="D29" s="43"/>
      <c r="E29" s="43"/>
      <c r="F29" s="43"/>
    </row>
    <row r="30" ht="52" customHeight="1" spans="1:6">
      <c r="A30" s="8" t="s">
        <v>26</v>
      </c>
      <c r="B30" s="9"/>
      <c r="C30" s="9"/>
      <c r="D30" s="9"/>
      <c r="E30" s="9"/>
      <c r="F30" s="10"/>
    </row>
  </sheetData>
  <mergeCells count="7">
    <mergeCell ref="A4:F4"/>
    <mergeCell ref="A22:F22"/>
    <mergeCell ref="A24:F24"/>
    <mergeCell ref="A26:F26"/>
    <mergeCell ref="A28:F28"/>
    <mergeCell ref="A30:F30"/>
    <mergeCell ref="A1:F2"/>
  </mergeCells>
  <conditionalFormatting sqref="B19">
    <cfRule type="containsText" dxfId="0" priority="1" operator="between" text="PASS">
      <formula>NOT(ISERROR(SEARCH("PASS",B19)))</formula>
    </cfRule>
    <cfRule type="containsText" dxfId="1" priority="2" operator="between" text="INCOMPLETE">
      <formula>NOT(ISERROR(SEARCH("INCOMPLETE",B19)))</formula>
    </cfRule>
    <cfRule type="containsText" dxfId="1" priority="3" operator="between" text="GAP">
      <formula>NOT(ISERROR(SEARCH("GAP",B19)))</formula>
    </cfRule>
  </conditionalFormatting>
  <dataValidations count="1">
    <dataValidation type="list" sqref="B12:B15">
      <formula1>"Yes"</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4"/>
  <sheetViews>
    <sheetView showGridLines="0" workbookViewId="0">
      <selection activeCell="A1" sqref="A1:D2"/>
    </sheetView>
  </sheetViews>
  <sheetFormatPr defaultColWidth="9" defaultRowHeight="13.8" outlineLevelCol="3"/>
  <cols>
    <col min="1" max="1" width="15" customWidth="1"/>
    <col min="2" max="2" width="27" customWidth="1"/>
    <col min="3" max="4" width="67" customWidth="1"/>
  </cols>
  <sheetData>
    <row r="1" ht="28" customHeight="1" spans="1:4">
      <c r="A1" s="1" t="s">
        <v>27</v>
      </c>
      <c r="B1" s="1"/>
      <c r="C1" s="1"/>
      <c r="D1" s="1"/>
    </row>
    <row r="2" ht="28" customHeight="1" spans="1:4">
      <c r="A2" s="1"/>
      <c r="B2" s="1"/>
      <c r="C2" s="1"/>
      <c r="D2" s="1"/>
    </row>
    <row r="4" spans="1:4">
      <c r="A4" s="8" t="s">
        <v>28</v>
      </c>
      <c r="B4" s="9"/>
      <c r="C4" s="9"/>
      <c r="D4" s="10"/>
    </row>
    <row r="5" spans="1:4">
      <c r="A5" s="2" t="s">
        <v>29</v>
      </c>
      <c r="B5" s="2" t="s">
        <v>30</v>
      </c>
      <c r="C5" s="2" t="s">
        <v>31</v>
      </c>
      <c r="D5" s="2" t="s">
        <v>32</v>
      </c>
    </row>
    <row r="6" ht="96" customHeight="1" spans="1:4">
      <c r="A6" s="40" t="s">
        <v>33</v>
      </c>
      <c r="B6" s="40" t="s">
        <v>34</v>
      </c>
      <c r="C6" s="41" t="s">
        <v>35</v>
      </c>
      <c r="D6" s="42" t="s">
        <v>36</v>
      </c>
    </row>
    <row r="7" ht="96" customHeight="1" spans="1:4">
      <c r="A7" s="40" t="s">
        <v>37</v>
      </c>
      <c r="B7" s="40" t="s">
        <v>34</v>
      </c>
      <c r="C7" s="41" t="s">
        <v>38</v>
      </c>
      <c r="D7" s="42" t="s">
        <v>39</v>
      </c>
    </row>
    <row r="8" ht="96" customHeight="1" spans="1:4">
      <c r="A8" s="40" t="s">
        <v>40</v>
      </c>
      <c r="B8" s="40" t="s">
        <v>34</v>
      </c>
      <c r="C8" s="41" t="s">
        <v>41</v>
      </c>
      <c r="D8" s="42" t="s">
        <v>42</v>
      </c>
    </row>
    <row r="9" ht="96" customHeight="1" spans="1:4">
      <c r="A9" s="40" t="s">
        <v>43</v>
      </c>
      <c r="B9" s="40" t="s">
        <v>44</v>
      </c>
      <c r="C9" s="41" t="s">
        <v>45</v>
      </c>
      <c r="D9" s="42" t="s">
        <v>46</v>
      </c>
    </row>
    <row r="10" ht="96" customHeight="1" spans="1:4">
      <c r="A10" s="40" t="s">
        <v>47</v>
      </c>
      <c r="B10" s="40" t="s">
        <v>48</v>
      </c>
      <c r="C10" s="41" t="s">
        <v>49</v>
      </c>
      <c r="D10" s="42" t="s">
        <v>50</v>
      </c>
    </row>
    <row r="11" ht="96" customHeight="1" spans="1:4">
      <c r="A11" s="40" t="s">
        <v>51</v>
      </c>
      <c r="B11" s="40" t="s">
        <v>34</v>
      </c>
      <c r="C11" s="41" t="s">
        <v>52</v>
      </c>
      <c r="D11" s="42" t="s">
        <v>53</v>
      </c>
    </row>
    <row r="12" ht="96" customHeight="1" spans="1:4">
      <c r="A12" s="40" t="s">
        <v>54</v>
      </c>
      <c r="B12" s="40" t="s">
        <v>55</v>
      </c>
      <c r="C12" s="41" t="s">
        <v>56</v>
      </c>
      <c r="D12" s="42" t="s">
        <v>57</v>
      </c>
    </row>
    <row r="13" ht="96" customHeight="1" spans="1:4">
      <c r="A13" s="40" t="s">
        <v>58</v>
      </c>
      <c r="B13" s="40" t="s">
        <v>34</v>
      </c>
      <c r="C13" s="41" t="s">
        <v>59</v>
      </c>
      <c r="D13" s="42" t="s">
        <v>60</v>
      </c>
    </row>
    <row r="14" ht="96" customHeight="1" spans="1:4">
      <c r="A14" s="40" t="s">
        <v>61</v>
      </c>
      <c r="B14" s="40" t="s">
        <v>62</v>
      </c>
      <c r="C14" s="41" t="s">
        <v>63</v>
      </c>
      <c r="D14" s="42" t="s">
        <v>64</v>
      </c>
    </row>
  </sheetData>
  <mergeCells count="2">
    <mergeCell ref="A4:D4"/>
    <mergeCell ref="A1:D2"/>
  </mergeCells>
  <pageMargins left="0.7" right="0.7" top="0.75" bottom="0.75" header="0.3" footer="0.3"/>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4"/>
  <sheetViews>
    <sheetView showGridLines="0" workbookViewId="0">
      <selection activeCell="A1" sqref="A1:K2"/>
    </sheetView>
  </sheetViews>
  <sheetFormatPr defaultColWidth="9" defaultRowHeight="13.8"/>
  <cols>
    <col min="1" max="1" width="15" customWidth="1"/>
    <col min="2" max="2" width="26" customWidth="1"/>
    <col min="3" max="3" width="18" customWidth="1"/>
    <col min="4" max="4" width="22" customWidth="1"/>
    <col min="5" max="5" width="58" customWidth="1"/>
    <col min="6" max="6" width="12" customWidth="1"/>
    <col min="7" max="7" width="28" customWidth="1"/>
    <col min="8" max="8" width="24" customWidth="1"/>
    <col min="9" max="9" width="28" customWidth="1"/>
    <col min="10" max="11" width="16" customWidth="1"/>
  </cols>
  <sheetData>
    <row r="1" ht="28" customHeight="1" spans="1:11">
      <c r="A1" s="1" t="s">
        <v>65</v>
      </c>
      <c r="B1" s="1"/>
      <c r="C1" s="1"/>
      <c r="D1" s="1"/>
      <c r="E1" s="1"/>
      <c r="F1" s="1"/>
      <c r="G1" s="1"/>
      <c r="H1" s="1"/>
      <c r="I1" s="1"/>
      <c r="J1" s="1"/>
      <c r="K1" s="1"/>
    </row>
    <row r="2" ht="28" customHeight="1" spans="1:11">
      <c r="A2" s="1"/>
      <c r="B2" s="1"/>
      <c r="C2" s="1"/>
      <c r="D2" s="1"/>
      <c r="E2" s="1"/>
      <c r="F2" s="1"/>
      <c r="G2" s="1"/>
      <c r="H2" s="1"/>
      <c r="I2" s="1"/>
      <c r="J2" s="1"/>
      <c r="K2" s="1"/>
    </row>
    <row r="4" spans="1:11">
      <c r="A4" s="8" t="s">
        <v>66</v>
      </c>
      <c r="B4" s="9"/>
      <c r="C4" s="9"/>
      <c r="D4" s="9"/>
      <c r="E4" s="9"/>
      <c r="F4" s="9"/>
      <c r="G4" s="9"/>
      <c r="H4" s="9"/>
      <c r="I4" s="9"/>
      <c r="J4" s="9"/>
      <c r="K4" s="10"/>
    </row>
    <row r="5" ht="27.6" spans="1:11">
      <c r="A5" s="11" t="s">
        <v>29</v>
      </c>
      <c r="B5" s="12" t="s">
        <v>30</v>
      </c>
      <c r="C5" s="12" t="s">
        <v>67</v>
      </c>
      <c r="D5" s="12" t="s">
        <v>68</v>
      </c>
      <c r="E5" s="12" t="s">
        <v>69</v>
      </c>
      <c r="F5" s="12" t="s">
        <v>70</v>
      </c>
      <c r="G5" s="12" t="s">
        <v>71</v>
      </c>
      <c r="H5" s="12" t="s">
        <v>72</v>
      </c>
      <c r="I5" s="12" t="s">
        <v>73</v>
      </c>
      <c r="J5" s="12" t="s">
        <v>74</v>
      </c>
      <c r="K5" s="13" t="s">
        <v>75</v>
      </c>
    </row>
    <row r="6" ht="62" customHeight="1" spans="1:11">
      <c r="A6" s="30" t="s">
        <v>33</v>
      </c>
      <c r="B6" s="31" t="s">
        <v>34</v>
      </c>
      <c r="C6" s="20" t="s">
        <v>76</v>
      </c>
      <c r="D6" s="20" t="s">
        <v>77</v>
      </c>
      <c r="E6" s="20" t="s">
        <v>78</v>
      </c>
      <c r="F6" s="20">
        <v>3</v>
      </c>
      <c r="G6" s="32">
        <v>46244.6090509259</v>
      </c>
      <c r="H6" s="20" t="s">
        <v>14</v>
      </c>
      <c r="I6" s="32">
        <v>46244.6132986111</v>
      </c>
      <c r="J6" s="33" t="str">
        <f t="shared" ref="J6:J14" si="0">IF(AND(OR(C6="preserved",C6="not_preserved",C6="uncertain"),OR(D6="none",D6="added meaning",D6="omitted meaning",D6="contradicted meaning",D6="source ambiguity",D6="other"),OR(AND(C6="preserved",D6="none"),AND(C6="not_preserved",D6&lt;&gt;"none"),AND(C6="uncertain",OR(D6="source ambiguity",D6="other"))),LEN(TRIM(E6))&gt;=10,OR(F6=1,F6=2,F6=3),OR(AND(ISNUMBER(G6),G6&gt;=DATE(2020,1,1)),IFERROR(AND(LEN(G6)&gt;=20,ISNUMBER(SEARCH("T",G6)),OR(RIGHT(G6,1)="Z",MID(G6,LEN(G6)-5,1)="+",MID(G6,LEN(G6)-5,1)="-")),FALSE))),"PASS","INCOMPLETE")</f>
        <v>PASS</v>
      </c>
      <c r="K6" s="34" t="str">
        <f>IF(AND(H6="Yes",OR(AND(ISNUMBER(I6),I6&gt;=DATE(2020,1,1)),IFERROR(AND(LEN(I6)&gt;=20,ISNUMBER(SEARCH("T",I6)),OR(RIGHT(I6,1)="Z",MID(I6,LEN(I6)-5,1)="+",MID(I6,LEN(I6)-5,1)="-")),FALSE)),COUNTA('UCR Segmentation'!$C$6:$C$17)&gt;=1,COUNTIF('UCR Segmentation'!$D$6:$D$17,"GAP")=0),"PASS","INCOMPLETE")</f>
        <v>PASS</v>
      </c>
    </row>
    <row r="7" ht="62" customHeight="1" spans="1:11">
      <c r="A7" s="30" t="s">
        <v>37</v>
      </c>
      <c r="B7" s="31" t="s">
        <v>34</v>
      </c>
      <c r="C7" s="20" t="s">
        <v>76</v>
      </c>
      <c r="D7" s="20" t="s">
        <v>77</v>
      </c>
      <c r="E7" s="20" t="s">
        <v>79</v>
      </c>
      <c r="F7" s="20">
        <v>3</v>
      </c>
      <c r="G7" s="32">
        <v>46244.6151967593</v>
      </c>
      <c r="H7" s="20" t="s">
        <v>14</v>
      </c>
      <c r="I7" s="32">
        <v>46244.6167592593</v>
      </c>
      <c r="J7" s="33" t="str">
        <f t="shared" si="0"/>
        <v>PASS</v>
      </c>
      <c r="K7" s="34" t="str">
        <f>IF(AND(H7="Yes",OR(AND(ISNUMBER(I7),I7&gt;=DATE(2020,1,1)),IFERROR(AND(LEN(I7)&gt;=20,ISNUMBER(SEARCH("T",I7)),OR(RIGHT(I7,1)="Z",MID(I7,LEN(I7)-5,1)="+",MID(I7,LEN(I7)-5,1)="-")),FALSE)),COUNTA('UCR Segmentation'!$C$18:$C$29)&gt;=1,COUNTIF('UCR Segmentation'!$D$18:$D$29,"GAP")=0),"PASS","INCOMPLETE")</f>
        <v>PASS</v>
      </c>
    </row>
    <row r="8" ht="62" customHeight="1" spans="1:11">
      <c r="A8" s="30" t="s">
        <v>40</v>
      </c>
      <c r="B8" s="31" t="s">
        <v>34</v>
      </c>
      <c r="C8" s="20" t="s">
        <v>76</v>
      </c>
      <c r="D8" s="20" t="s">
        <v>77</v>
      </c>
      <c r="E8" s="20" t="s">
        <v>80</v>
      </c>
      <c r="F8" s="20">
        <v>3</v>
      </c>
      <c r="G8" s="32">
        <v>46244.6195023148</v>
      </c>
      <c r="H8" s="20" t="s">
        <v>14</v>
      </c>
      <c r="I8" s="32">
        <v>46244.6235532407</v>
      </c>
      <c r="J8" s="33" t="str">
        <f t="shared" si="0"/>
        <v>PASS</v>
      </c>
      <c r="K8" s="34" t="str">
        <f>IF(AND(H8="Yes",OR(AND(ISNUMBER(I8),I8&gt;=DATE(2020,1,1)),IFERROR(AND(LEN(I8)&gt;=20,ISNUMBER(SEARCH("T",I8)),OR(RIGHT(I8,1)="Z",MID(I8,LEN(I8)-5,1)="+",MID(I8,LEN(I8)-5,1)="-")),FALSE)),COUNTA('UCR Segmentation'!$C$30:$C$41)&gt;=1,COUNTIF('UCR Segmentation'!$D$30:$D$41,"GAP")=0),"PASS","INCOMPLETE")</f>
        <v>PASS</v>
      </c>
    </row>
    <row r="9" ht="62" customHeight="1" spans="1:11">
      <c r="A9" s="30" t="s">
        <v>43</v>
      </c>
      <c r="B9" s="31" t="s">
        <v>44</v>
      </c>
      <c r="C9" s="20" t="s">
        <v>76</v>
      </c>
      <c r="D9" s="20" t="s">
        <v>77</v>
      </c>
      <c r="E9" s="20" t="s">
        <v>81</v>
      </c>
      <c r="F9" s="20">
        <v>3</v>
      </c>
      <c r="G9" s="32">
        <v>46244.6257523148</v>
      </c>
      <c r="H9" s="20" t="s">
        <v>14</v>
      </c>
      <c r="I9" s="32">
        <v>46244.6288541667</v>
      </c>
      <c r="J9" s="33" t="str">
        <f t="shared" si="0"/>
        <v>PASS</v>
      </c>
      <c r="K9" s="34" t="str">
        <f>IF(AND(H9="Yes",OR(AND(ISNUMBER(I9),I9&gt;=DATE(2020,1,1)),IFERROR(AND(LEN(I9)&gt;=20,ISNUMBER(SEARCH("T",I9)),OR(RIGHT(I9,1)="Z",MID(I9,LEN(I9)-5,1)="+",MID(I9,LEN(I9)-5,1)="-")),FALSE)),COUNTA('UCR Segmentation'!$C$42:$C$53)&gt;=1,COUNTIF('UCR Segmentation'!$D$42:$D$53,"GAP")=0),"PASS","INCOMPLETE")</f>
        <v>PASS</v>
      </c>
    </row>
    <row r="10" ht="62" customHeight="1" spans="1:11">
      <c r="A10" s="30" t="s">
        <v>47</v>
      </c>
      <c r="B10" s="31" t="s">
        <v>48</v>
      </c>
      <c r="C10" s="20" t="s">
        <v>76</v>
      </c>
      <c r="D10" s="20" t="s">
        <v>77</v>
      </c>
      <c r="E10" s="20" t="s">
        <v>82</v>
      </c>
      <c r="F10" s="20">
        <v>3</v>
      </c>
      <c r="G10" s="32">
        <v>46244.6309375</v>
      </c>
      <c r="H10" s="20" t="s">
        <v>14</v>
      </c>
      <c r="I10" s="32">
        <v>46244.6337268519</v>
      </c>
      <c r="J10" s="33" t="str">
        <f t="shared" si="0"/>
        <v>PASS</v>
      </c>
      <c r="K10" s="34" t="str">
        <f>IF(AND(H10="Yes",OR(AND(ISNUMBER(I10),I10&gt;=DATE(2020,1,1)),IFERROR(AND(LEN(I10)&gt;=20,ISNUMBER(SEARCH("T",I10)),OR(RIGHT(I10,1)="Z",MID(I10,LEN(I10)-5,1)="+",MID(I10,LEN(I10)-5,1)="-")),FALSE)),COUNTA('UCR Segmentation'!$C$54:$C$65)&gt;=1,COUNTIF('UCR Segmentation'!$D$54:$D$65,"GAP")=0),"PASS","INCOMPLETE")</f>
        <v>PASS</v>
      </c>
    </row>
    <row r="11" ht="62" customHeight="1" spans="1:11">
      <c r="A11" s="30" t="s">
        <v>51</v>
      </c>
      <c r="B11" s="31" t="s">
        <v>34</v>
      </c>
      <c r="C11" s="20" t="s">
        <v>76</v>
      </c>
      <c r="D11" s="20" t="s">
        <v>77</v>
      </c>
      <c r="E11" s="20" t="s">
        <v>83</v>
      </c>
      <c r="F11" s="20">
        <v>3</v>
      </c>
      <c r="G11" s="32">
        <v>46244.6354976852</v>
      </c>
      <c r="H11" s="20" t="s">
        <v>14</v>
      </c>
      <c r="I11" s="32">
        <v>46244.6381828704</v>
      </c>
      <c r="J11" s="33" t="str">
        <f t="shared" si="0"/>
        <v>PASS</v>
      </c>
      <c r="K11" s="34" t="str">
        <f>IF(AND(H11="Yes",OR(AND(ISNUMBER(I11),I11&gt;=DATE(2020,1,1)),IFERROR(AND(LEN(I11)&gt;=20,ISNUMBER(SEARCH("T",I11)),OR(RIGHT(I11,1)="Z",MID(I11,LEN(I11)-5,1)="+",MID(I11,LEN(I11)-5,1)="-")),FALSE)),COUNTA('UCR Segmentation'!$C$66:$C$77)&gt;=1,COUNTIF('UCR Segmentation'!$D$66:$D$77,"GAP")=0),"PASS","INCOMPLETE")</f>
        <v>PASS</v>
      </c>
    </row>
    <row r="12" ht="62" customHeight="1" spans="1:11">
      <c r="A12" s="30" t="s">
        <v>54</v>
      </c>
      <c r="B12" s="31" t="s">
        <v>55</v>
      </c>
      <c r="C12" s="20" t="s">
        <v>76</v>
      </c>
      <c r="D12" s="20" t="s">
        <v>77</v>
      </c>
      <c r="E12" s="20" t="s">
        <v>84</v>
      </c>
      <c r="F12" s="20">
        <v>3</v>
      </c>
      <c r="G12" s="32">
        <v>46244.6395949074</v>
      </c>
      <c r="H12" s="20" t="s">
        <v>14</v>
      </c>
      <c r="I12" s="32">
        <v>46244.6424074074</v>
      </c>
      <c r="J12" s="33" t="str">
        <f t="shared" si="0"/>
        <v>PASS</v>
      </c>
      <c r="K12" s="34" t="str">
        <f>IF(AND(H12="Yes",OR(AND(ISNUMBER(I12),I12&gt;=DATE(2020,1,1)),IFERROR(AND(LEN(I12)&gt;=20,ISNUMBER(SEARCH("T",I12)),OR(RIGHT(I12,1)="Z",MID(I12,LEN(I12)-5,1)="+",MID(I12,LEN(I12)-5,1)="-")),FALSE)),COUNTA('UCR Segmentation'!$C$78:$C$89)&gt;=1,COUNTIF('UCR Segmentation'!$D$78:$D$89,"GAP")=0),"PASS","INCOMPLETE")</f>
        <v>PASS</v>
      </c>
    </row>
    <row r="13" ht="62" customHeight="1" spans="1:11">
      <c r="A13" s="30" t="s">
        <v>58</v>
      </c>
      <c r="B13" s="31" t="s">
        <v>34</v>
      </c>
      <c r="C13" s="20" t="s">
        <v>76</v>
      </c>
      <c r="D13" s="20" t="s">
        <v>77</v>
      </c>
      <c r="E13" s="20" t="s">
        <v>85</v>
      </c>
      <c r="F13" s="20">
        <v>3</v>
      </c>
      <c r="G13" s="32">
        <v>46244.6451157407</v>
      </c>
      <c r="H13" s="20" t="s">
        <v>14</v>
      </c>
      <c r="I13" s="32">
        <v>46244.6494444444</v>
      </c>
      <c r="J13" s="33" t="str">
        <f t="shared" si="0"/>
        <v>PASS</v>
      </c>
      <c r="K13" s="34" t="str">
        <f>IF(AND(H13="Yes",OR(AND(ISNUMBER(I13),I13&gt;=DATE(2020,1,1)),IFERROR(AND(LEN(I13)&gt;=20,ISNUMBER(SEARCH("T",I13)),OR(RIGHT(I13,1)="Z",MID(I13,LEN(I13)-5,1)="+",MID(I13,LEN(I13)-5,1)="-")),FALSE)),COUNTA('UCR Segmentation'!$C$90:$C$101)&gt;=1,COUNTIF('UCR Segmentation'!$D$90:$D$101,"GAP")=0),"PASS","INCOMPLETE")</f>
        <v>PASS</v>
      </c>
    </row>
    <row r="14" ht="62" customHeight="1" spans="1:11">
      <c r="A14" s="35" t="s">
        <v>61</v>
      </c>
      <c r="B14" s="36" t="s">
        <v>62</v>
      </c>
      <c r="C14" s="28" t="s">
        <v>76</v>
      </c>
      <c r="D14" s="28" t="s">
        <v>77</v>
      </c>
      <c r="E14" s="28" t="s">
        <v>86</v>
      </c>
      <c r="F14" s="28">
        <v>3</v>
      </c>
      <c r="G14" s="37">
        <v>46244.6515625</v>
      </c>
      <c r="H14" s="28" t="s">
        <v>14</v>
      </c>
      <c r="I14" s="37">
        <v>46244.6542476852</v>
      </c>
      <c r="J14" s="38" t="str">
        <f t="shared" si="0"/>
        <v>PASS</v>
      </c>
      <c r="K14" s="39" t="str">
        <f>IF(AND(H14="Yes",OR(AND(ISNUMBER(I14),I14&gt;=DATE(2020,1,1)),IFERROR(AND(LEN(I14)&gt;=20,ISNUMBER(SEARCH("T",I14)),OR(RIGHT(I14,1)="Z",MID(I14,LEN(I14)-5,1)="+",MID(I14,LEN(I14)-5,1)="-")),FALSE)),COUNTA('UCR Segmentation'!$C$102:$C$113)&gt;=1,COUNTIF('UCR Segmentation'!$D$102:$D$113,"GAP")=0),"PASS","INCOMPLETE")</f>
        <v>PASS</v>
      </c>
    </row>
  </sheetData>
  <mergeCells count="2">
    <mergeCell ref="A4:K4"/>
    <mergeCell ref="A1:K2"/>
  </mergeCells>
  <conditionalFormatting sqref="J6:K14">
    <cfRule type="containsText" dxfId="0" priority="1" operator="between" text="PASS">
      <formula>NOT(ISERROR(SEARCH("PASS",J6)))</formula>
    </cfRule>
    <cfRule type="containsText" dxfId="1" priority="2" operator="between" text="INCOMPLETE">
      <formula>NOT(ISERROR(SEARCH("INCOMPLETE",J6)))</formula>
    </cfRule>
    <cfRule type="containsText" dxfId="1" priority="3" operator="between" text="GAP">
      <formula>NOT(ISERROR(SEARCH("GAP",J6)))</formula>
    </cfRule>
  </conditionalFormatting>
  <dataValidations count="4">
    <dataValidation type="list" sqref="C6:C14">
      <formula1>"preserved,not_preserved,uncertain"</formula1>
    </dataValidation>
    <dataValidation type="list" sqref="D6:D14">
      <formula1>"none,added meaning,omitted meaning,contradicted meaning,source ambiguity,other"</formula1>
    </dataValidation>
    <dataValidation type="list" sqref="F6:F14">
      <formula1>"1,2,3"</formula1>
    </dataValidation>
    <dataValidation type="list" sqref="H6:H14">
      <formula1>"Yes"</formula1>
    </dataValidation>
  </dataValidations>
  <pageMargins left="0.7" right="0.7" top="0.75" bottom="0.75" header="0.3" footer="0.3"/>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13"/>
  <sheetViews>
    <sheetView showGridLines="0" workbookViewId="0">
      <selection activeCell="A1" sqref="A1:D2"/>
    </sheetView>
  </sheetViews>
  <sheetFormatPr defaultColWidth="9" defaultRowHeight="13.8" outlineLevelCol="3"/>
  <cols>
    <col min="1" max="1" width="16" customWidth="1"/>
    <col min="2" max="2" width="18" customWidth="1"/>
    <col min="3" max="3" width="88" customWidth="1"/>
    <col min="4" max="4" width="14" customWidth="1"/>
  </cols>
  <sheetData>
    <row r="1" ht="28" customHeight="1" spans="1:4">
      <c r="A1" s="1" t="s">
        <v>87</v>
      </c>
      <c r="B1" s="1"/>
      <c r="C1" s="1"/>
      <c r="D1" s="1"/>
    </row>
    <row r="2" ht="28" customHeight="1" spans="1:4">
      <c r="A2" s="1"/>
      <c r="B2" s="1"/>
      <c r="C2" s="1"/>
      <c r="D2" s="1"/>
    </row>
    <row r="4" spans="1:4">
      <c r="A4" s="8" t="s">
        <v>88</v>
      </c>
      <c r="B4" s="9"/>
      <c r="C4" s="9"/>
      <c r="D4" s="10"/>
    </row>
    <row r="5" ht="14.55" spans="1:4">
      <c r="A5" s="11" t="s">
        <v>29</v>
      </c>
      <c r="B5" s="12" t="s">
        <v>89</v>
      </c>
      <c r="C5" s="12" t="s">
        <v>90</v>
      </c>
      <c r="D5" s="13" t="s">
        <v>91</v>
      </c>
    </row>
    <row r="6" ht="28" customHeight="1" spans="1:4">
      <c r="A6" s="14" t="s">
        <v>33</v>
      </c>
      <c r="B6" s="15">
        <v>1</v>
      </c>
      <c r="C6" s="16" t="s">
        <v>92</v>
      </c>
      <c r="D6" s="17" t="str">
        <f>IF(C6="","UNUSED",IF(COUNTA($C$6:C6)=B6,"USED","GAP"))</f>
        <v>USED</v>
      </c>
    </row>
    <row r="7" ht="28" customHeight="1" spans="1:4">
      <c r="A7" s="18" t="s">
        <v>33</v>
      </c>
      <c r="B7" s="19">
        <v>2</v>
      </c>
      <c r="C7" s="20" t="s">
        <v>93</v>
      </c>
      <c r="D7" s="21" t="str">
        <f>IF(C7="","UNUSED",IF(COUNTA($C$6:C7)=B7,"USED","GAP"))</f>
        <v>USED</v>
      </c>
    </row>
    <row r="8" ht="28" customHeight="1" spans="1:4">
      <c r="A8" s="18" t="s">
        <v>33</v>
      </c>
      <c r="B8" s="19">
        <v>3</v>
      </c>
      <c r="C8" s="20" t="s">
        <v>94</v>
      </c>
      <c r="D8" s="21" t="str">
        <f>IF(C8="","UNUSED",IF(COUNTA($C$6:C8)=B8,"USED","GAP"))</f>
        <v>USED</v>
      </c>
    </row>
    <row r="9" ht="28" customHeight="1" spans="1:4">
      <c r="A9" s="18" t="s">
        <v>33</v>
      </c>
      <c r="B9" s="19">
        <v>4</v>
      </c>
      <c r="C9" s="20" t="s">
        <v>95</v>
      </c>
      <c r="D9" s="21" t="str">
        <f>IF(C9="","UNUSED",IF(COUNTA($C$6:C9)=B9,"USED","GAP"))</f>
        <v>USED</v>
      </c>
    </row>
    <row r="10" ht="28" customHeight="1" spans="1:4">
      <c r="A10" s="18" t="s">
        <v>33</v>
      </c>
      <c r="B10" s="19">
        <v>5</v>
      </c>
      <c r="C10" s="20" t="s">
        <v>96</v>
      </c>
      <c r="D10" s="21" t="str">
        <f>IF(C10="","UNUSED",IF(COUNTA($C$6:C10)=B10,"USED","GAP"))</f>
        <v>USED</v>
      </c>
    </row>
    <row r="11" ht="28" customHeight="1" spans="1:4">
      <c r="A11" s="18" t="s">
        <v>33</v>
      </c>
      <c r="B11" s="19">
        <v>6</v>
      </c>
      <c r="C11" s="20" t="s">
        <v>97</v>
      </c>
      <c r="D11" s="21" t="str">
        <f>IF(C11="","UNUSED",IF(COUNTA($C$6:C11)=B11,"USED","GAP"))</f>
        <v>USED</v>
      </c>
    </row>
    <row r="12" ht="28" customHeight="1" spans="1:4">
      <c r="A12" s="18" t="s">
        <v>33</v>
      </c>
      <c r="B12" s="19">
        <v>7</v>
      </c>
      <c r="C12" s="20" t="s">
        <v>98</v>
      </c>
      <c r="D12" s="21" t="str">
        <f>IF(C12="","UNUSED",IF(COUNTA($C$6:C12)=B12,"USED","GAP"))</f>
        <v>USED</v>
      </c>
    </row>
    <row r="13" ht="28" customHeight="1" spans="1:4">
      <c r="A13" s="18" t="s">
        <v>33</v>
      </c>
      <c r="B13" s="19">
        <v>8</v>
      </c>
      <c r="C13" s="20"/>
      <c r="D13" s="21" t="str">
        <f>IF(C13="","UNUSED",IF(COUNTA($C$6:C13)=B13,"USED","GAP"))</f>
        <v>UNUSED</v>
      </c>
    </row>
    <row r="14" ht="28" customHeight="1" spans="1:4">
      <c r="A14" s="18" t="s">
        <v>33</v>
      </c>
      <c r="B14" s="19">
        <v>9</v>
      </c>
      <c r="C14" s="20"/>
      <c r="D14" s="21" t="str">
        <f>IF(C14="","UNUSED",IF(COUNTA($C$6:C14)=B14,"USED","GAP"))</f>
        <v>UNUSED</v>
      </c>
    </row>
    <row r="15" ht="28" customHeight="1" spans="1:4">
      <c r="A15" s="18" t="s">
        <v>33</v>
      </c>
      <c r="B15" s="19">
        <v>10</v>
      </c>
      <c r="C15" s="20"/>
      <c r="D15" s="21" t="str">
        <f>IF(C15="","UNUSED",IF(COUNTA($C$6:C15)=B15,"USED","GAP"))</f>
        <v>UNUSED</v>
      </c>
    </row>
    <row r="16" ht="28" customHeight="1" spans="1:4">
      <c r="A16" s="18" t="s">
        <v>33</v>
      </c>
      <c r="B16" s="19">
        <v>11</v>
      </c>
      <c r="C16" s="20"/>
      <c r="D16" s="21" t="str">
        <f>IF(C16="","UNUSED",IF(COUNTA($C$6:C16)=B16,"USED","GAP"))</f>
        <v>UNUSED</v>
      </c>
    </row>
    <row r="17" ht="28" customHeight="1" spans="1:4">
      <c r="A17" s="18" t="s">
        <v>33</v>
      </c>
      <c r="B17" s="19">
        <v>12</v>
      </c>
      <c r="C17" s="20"/>
      <c r="D17" s="21" t="str">
        <f>IF(C17="","UNUSED",IF(COUNTA($C$6:C17)=B17,"USED","GAP"))</f>
        <v>UNUSED</v>
      </c>
    </row>
    <row r="18" ht="28" customHeight="1" spans="1:4">
      <c r="A18" s="22" t="s">
        <v>37</v>
      </c>
      <c r="B18" s="23">
        <v>1</v>
      </c>
      <c r="C18" s="16" t="s">
        <v>92</v>
      </c>
      <c r="D18" s="17" t="str">
        <f>IF(C18="","UNUSED",IF(COUNTA($C$18:C18)=B18,"USED","GAP"))</f>
        <v>USED</v>
      </c>
    </row>
    <row r="19" ht="28" customHeight="1" spans="1:4">
      <c r="A19" s="24" t="s">
        <v>37</v>
      </c>
      <c r="B19" s="25">
        <v>2</v>
      </c>
      <c r="C19" s="20" t="s">
        <v>99</v>
      </c>
      <c r="D19" s="21" t="str">
        <f>IF(C19="","UNUSED",IF(COUNTA($C$18:C19)=B19,"USED","GAP"))</f>
        <v>USED</v>
      </c>
    </row>
    <row r="20" ht="28" customHeight="1" spans="1:4">
      <c r="A20" s="24" t="s">
        <v>37</v>
      </c>
      <c r="B20" s="25">
        <v>3</v>
      </c>
      <c r="C20" s="20"/>
      <c r="D20" s="21" t="str">
        <f>IF(C20="","UNUSED",IF(COUNTA($C$18:C20)=B20,"USED","GAP"))</f>
        <v>UNUSED</v>
      </c>
    </row>
    <row r="21" ht="28" customHeight="1" spans="1:4">
      <c r="A21" s="24" t="s">
        <v>37</v>
      </c>
      <c r="B21" s="25">
        <v>4</v>
      </c>
      <c r="C21" s="20"/>
      <c r="D21" s="21" t="str">
        <f>IF(C21="","UNUSED",IF(COUNTA($C$18:C21)=B21,"USED","GAP"))</f>
        <v>UNUSED</v>
      </c>
    </row>
    <row r="22" ht="28" customHeight="1" spans="1:4">
      <c r="A22" s="24" t="s">
        <v>37</v>
      </c>
      <c r="B22" s="25">
        <v>5</v>
      </c>
      <c r="C22" s="20"/>
      <c r="D22" s="21" t="str">
        <f>IF(C22="","UNUSED",IF(COUNTA($C$18:C22)=B22,"USED","GAP"))</f>
        <v>UNUSED</v>
      </c>
    </row>
    <row r="23" ht="28" customHeight="1" spans="1:4">
      <c r="A23" s="24" t="s">
        <v>37</v>
      </c>
      <c r="B23" s="25">
        <v>6</v>
      </c>
      <c r="C23" s="20"/>
      <c r="D23" s="21" t="str">
        <f>IF(C23="","UNUSED",IF(COUNTA($C$18:C23)=B23,"USED","GAP"))</f>
        <v>UNUSED</v>
      </c>
    </row>
    <row r="24" ht="28" customHeight="1" spans="1:4">
      <c r="A24" s="24" t="s">
        <v>37</v>
      </c>
      <c r="B24" s="25">
        <v>7</v>
      </c>
      <c r="C24" s="20"/>
      <c r="D24" s="21" t="str">
        <f>IF(C24="","UNUSED",IF(COUNTA($C$18:C24)=B24,"USED","GAP"))</f>
        <v>UNUSED</v>
      </c>
    </row>
    <row r="25" ht="28" customHeight="1" spans="1:4">
      <c r="A25" s="24" t="s">
        <v>37</v>
      </c>
      <c r="B25" s="25">
        <v>8</v>
      </c>
      <c r="C25" s="20"/>
      <c r="D25" s="21" t="str">
        <f>IF(C25="","UNUSED",IF(COUNTA($C$18:C25)=B25,"USED","GAP"))</f>
        <v>UNUSED</v>
      </c>
    </row>
    <row r="26" ht="28" customHeight="1" spans="1:4">
      <c r="A26" s="24" t="s">
        <v>37</v>
      </c>
      <c r="B26" s="25">
        <v>9</v>
      </c>
      <c r="C26" s="20"/>
      <c r="D26" s="21" t="str">
        <f>IF(C26="","UNUSED",IF(COUNTA($C$18:C26)=B26,"USED","GAP"))</f>
        <v>UNUSED</v>
      </c>
    </row>
    <row r="27" ht="28" customHeight="1" spans="1:4">
      <c r="A27" s="24" t="s">
        <v>37</v>
      </c>
      <c r="B27" s="25">
        <v>10</v>
      </c>
      <c r="C27" s="20"/>
      <c r="D27" s="21" t="str">
        <f>IF(C27="","UNUSED",IF(COUNTA($C$18:C27)=B27,"USED","GAP"))</f>
        <v>UNUSED</v>
      </c>
    </row>
    <row r="28" ht="28" customHeight="1" spans="1:4">
      <c r="A28" s="24" t="s">
        <v>37</v>
      </c>
      <c r="B28" s="25">
        <v>11</v>
      </c>
      <c r="C28" s="20"/>
      <c r="D28" s="21" t="str">
        <f>IF(C28="","UNUSED",IF(COUNTA($C$18:C28)=B28,"USED","GAP"))</f>
        <v>UNUSED</v>
      </c>
    </row>
    <row r="29" ht="28" customHeight="1" spans="1:4">
      <c r="A29" s="24" t="s">
        <v>37</v>
      </c>
      <c r="B29" s="25">
        <v>12</v>
      </c>
      <c r="C29" s="20"/>
      <c r="D29" s="21" t="str">
        <f>IF(C29="","UNUSED",IF(COUNTA($C$18:C29)=B29,"USED","GAP"))</f>
        <v>UNUSED</v>
      </c>
    </row>
    <row r="30" ht="28" customHeight="1" spans="1:4">
      <c r="A30" s="14" t="s">
        <v>40</v>
      </c>
      <c r="B30" s="15">
        <v>1</v>
      </c>
      <c r="C30" s="16" t="s">
        <v>100</v>
      </c>
      <c r="D30" s="17" t="str">
        <f>IF(C30="","UNUSED",IF(COUNTA($C$30:C30)=B30,"USED","GAP"))</f>
        <v>USED</v>
      </c>
    </row>
    <row r="31" ht="28" customHeight="1" spans="1:4">
      <c r="A31" s="18" t="s">
        <v>40</v>
      </c>
      <c r="B31" s="19">
        <v>2</v>
      </c>
      <c r="C31" s="20" t="s">
        <v>101</v>
      </c>
      <c r="D31" s="21" t="str">
        <f>IF(C31="","UNUSED",IF(COUNTA($C$30:C31)=B31,"USED","GAP"))</f>
        <v>USED</v>
      </c>
    </row>
    <row r="32" ht="28" customHeight="1" spans="1:4">
      <c r="A32" s="18" t="s">
        <v>40</v>
      </c>
      <c r="B32" s="19">
        <v>3</v>
      </c>
      <c r="C32" s="20" t="s">
        <v>102</v>
      </c>
      <c r="D32" s="21" t="str">
        <f>IF(C32="","UNUSED",IF(COUNTA($C$30:C32)=B32,"USED","GAP"))</f>
        <v>USED</v>
      </c>
    </row>
    <row r="33" ht="28" customHeight="1" spans="1:4">
      <c r="A33" s="18" t="s">
        <v>40</v>
      </c>
      <c r="B33" s="19">
        <v>4</v>
      </c>
      <c r="C33" s="20" t="s">
        <v>103</v>
      </c>
      <c r="D33" s="21" t="str">
        <f>IF(C33="","UNUSED",IF(COUNTA($C$30:C33)=B33,"USED","GAP"))</f>
        <v>USED</v>
      </c>
    </row>
    <row r="34" ht="28" customHeight="1" spans="1:4">
      <c r="A34" s="18" t="s">
        <v>40</v>
      </c>
      <c r="B34" s="19">
        <v>5</v>
      </c>
      <c r="C34" s="20" t="s">
        <v>104</v>
      </c>
      <c r="D34" s="21" t="str">
        <f>IF(C34="","UNUSED",IF(COUNTA($C$30:C34)=B34,"USED","GAP"))</f>
        <v>USED</v>
      </c>
    </row>
    <row r="35" ht="28" customHeight="1" spans="1:4">
      <c r="A35" s="18" t="s">
        <v>40</v>
      </c>
      <c r="B35" s="19">
        <v>6</v>
      </c>
      <c r="C35" s="20"/>
      <c r="D35" s="21" t="str">
        <f>IF(C35="","UNUSED",IF(COUNTA($C$30:C35)=B35,"USED","GAP"))</f>
        <v>UNUSED</v>
      </c>
    </row>
    <row r="36" ht="28" customHeight="1" spans="1:4">
      <c r="A36" s="18" t="s">
        <v>40</v>
      </c>
      <c r="B36" s="19">
        <v>7</v>
      </c>
      <c r="C36" s="20"/>
      <c r="D36" s="21" t="str">
        <f>IF(C36="","UNUSED",IF(COUNTA($C$30:C36)=B36,"USED","GAP"))</f>
        <v>UNUSED</v>
      </c>
    </row>
    <row r="37" ht="28" customHeight="1" spans="1:4">
      <c r="A37" s="18" t="s">
        <v>40</v>
      </c>
      <c r="B37" s="19">
        <v>8</v>
      </c>
      <c r="C37" s="20"/>
      <c r="D37" s="21" t="str">
        <f>IF(C37="","UNUSED",IF(COUNTA($C$30:C37)=B37,"USED","GAP"))</f>
        <v>UNUSED</v>
      </c>
    </row>
    <row r="38" ht="28" customHeight="1" spans="1:4">
      <c r="A38" s="18" t="s">
        <v>40</v>
      </c>
      <c r="B38" s="19">
        <v>9</v>
      </c>
      <c r="C38" s="20"/>
      <c r="D38" s="21" t="str">
        <f>IF(C38="","UNUSED",IF(COUNTA($C$30:C38)=B38,"USED","GAP"))</f>
        <v>UNUSED</v>
      </c>
    </row>
    <row r="39" ht="28" customHeight="1" spans="1:4">
      <c r="A39" s="18" t="s">
        <v>40</v>
      </c>
      <c r="B39" s="19">
        <v>10</v>
      </c>
      <c r="C39" s="20"/>
      <c r="D39" s="21" t="str">
        <f>IF(C39="","UNUSED",IF(COUNTA($C$30:C39)=B39,"USED","GAP"))</f>
        <v>UNUSED</v>
      </c>
    </row>
    <row r="40" ht="28" customHeight="1" spans="1:4">
      <c r="A40" s="18" t="s">
        <v>40</v>
      </c>
      <c r="B40" s="19">
        <v>11</v>
      </c>
      <c r="C40" s="20"/>
      <c r="D40" s="21" t="str">
        <f>IF(C40="","UNUSED",IF(COUNTA($C$30:C40)=B40,"USED","GAP"))</f>
        <v>UNUSED</v>
      </c>
    </row>
    <row r="41" ht="28" customHeight="1" spans="1:4">
      <c r="A41" s="18" t="s">
        <v>40</v>
      </c>
      <c r="B41" s="19">
        <v>12</v>
      </c>
      <c r="C41" s="20"/>
      <c r="D41" s="21" t="str">
        <f>IF(C41="","UNUSED",IF(COUNTA($C$30:C41)=B41,"USED","GAP"))</f>
        <v>UNUSED</v>
      </c>
    </row>
    <row r="42" ht="28" customHeight="1" spans="1:4">
      <c r="A42" s="22" t="s">
        <v>43</v>
      </c>
      <c r="B42" s="23">
        <v>1</v>
      </c>
      <c r="C42" s="16" t="s">
        <v>105</v>
      </c>
      <c r="D42" s="17" t="str">
        <f>IF(C42="","UNUSED",IF(COUNTA($C$42:C42)=B42,"USED","GAP"))</f>
        <v>USED</v>
      </c>
    </row>
    <row r="43" ht="28" customHeight="1" spans="1:4">
      <c r="A43" s="24" t="s">
        <v>43</v>
      </c>
      <c r="B43" s="25">
        <v>2</v>
      </c>
      <c r="C43" s="20" t="s">
        <v>106</v>
      </c>
      <c r="D43" s="21" t="str">
        <f>IF(C43="","UNUSED",IF(COUNTA($C$42:C43)=B43,"USED","GAP"))</f>
        <v>USED</v>
      </c>
    </row>
    <row r="44" ht="28" customHeight="1" spans="1:4">
      <c r="A44" s="24" t="s">
        <v>43</v>
      </c>
      <c r="B44" s="25">
        <v>3</v>
      </c>
      <c r="C44" s="20" t="s">
        <v>107</v>
      </c>
      <c r="D44" s="21" t="str">
        <f>IF(C44="","UNUSED",IF(COUNTA($C$42:C44)=B44,"USED","GAP"))</f>
        <v>USED</v>
      </c>
    </row>
    <row r="45" ht="28" customHeight="1" spans="1:4">
      <c r="A45" s="24" t="s">
        <v>43</v>
      </c>
      <c r="B45" s="25">
        <v>4</v>
      </c>
      <c r="C45" s="20" t="s">
        <v>108</v>
      </c>
      <c r="D45" s="21" t="str">
        <f>IF(C45="","UNUSED",IF(COUNTA($C$42:C45)=B45,"USED","GAP"))</f>
        <v>USED</v>
      </c>
    </row>
    <row r="46" ht="28" customHeight="1" spans="1:4">
      <c r="A46" s="24" t="s">
        <v>43</v>
      </c>
      <c r="B46" s="25">
        <v>5</v>
      </c>
      <c r="C46" s="20"/>
      <c r="D46" s="21" t="str">
        <f>IF(C46="","UNUSED",IF(COUNTA($C$42:C46)=B46,"USED","GAP"))</f>
        <v>UNUSED</v>
      </c>
    </row>
    <row r="47" ht="28" customHeight="1" spans="1:4">
      <c r="A47" s="24" t="s">
        <v>43</v>
      </c>
      <c r="B47" s="25">
        <v>6</v>
      </c>
      <c r="C47" s="20"/>
      <c r="D47" s="21" t="str">
        <f>IF(C47="","UNUSED",IF(COUNTA($C$42:C47)=B47,"USED","GAP"))</f>
        <v>UNUSED</v>
      </c>
    </row>
    <row r="48" ht="28" customHeight="1" spans="1:4">
      <c r="A48" s="24" t="s">
        <v>43</v>
      </c>
      <c r="B48" s="25">
        <v>7</v>
      </c>
      <c r="C48" s="20"/>
      <c r="D48" s="21" t="str">
        <f>IF(C48="","UNUSED",IF(COUNTA($C$42:C48)=B48,"USED","GAP"))</f>
        <v>UNUSED</v>
      </c>
    </row>
    <row r="49" ht="28" customHeight="1" spans="1:4">
      <c r="A49" s="24" t="s">
        <v>43</v>
      </c>
      <c r="B49" s="25">
        <v>8</v>
      </c>
      <c r="C49" s="20"/>
      <c r="D49" s="21" t="str">
        <f>IF(C49="","UNUSED",IF(COUNTA($C$42:C49)=B49,"USED","GAP"))</f>
        <v>UNUSED</v>
      </c>
    </row>
    <row r="50" ht="28" customHeight="1" spans="1:4">
      <c r="A50" s="24" t="s">
        <v>43</v>
      </c>
      <c r="B50" s="25">
        <v>9</v>
      </c>
      <c r="C50" s="20"/>
      <c r="D50" s="21" t="str">
        <f>IF(C50="","UNUSED",IF(COUNTA($C$42:C50)=B50,"USED","GAP"))</f>
        <v>UNUSED</v>
      </c>
    </row>
    <row r="51" ht="28" customHeight="1" spans="1:4">
      <c r="A51" s="24" t="s">
        <v>43</v>
      </c>
      <c r="B51" s="25">
        <v>10</v>
      </c>
      <c r="C51" s="20"/>
      <c r="D51" s="21" t="str">
        <f>IF(C51="","UNUSED",IF(COUNTA($C$42:C51)=B51,"USED","GAP"))</f>
        <v>UNUSED</v>
      </c>
    </row>
    <row r="52" ht="28" customHeight="1" spans="1:4">
      <c r="A52" s="24" t="s">
        <v>43</v>
      </c>
      <c r="B52" s="25">
        <v>11</v>
      </c>
      <c r="C52" s="20"/>
      <c r="D52" s="21" t="str">
        <f>IF(C52="","UNUSED",IF(COUNTA($C$42:C52)=B52,"USED","GAP"))</f>
        <v>UNUSED</v>
      </c>
    </row>
    <row r="53" ht="28" customHeight="1" spans="1:4">
      <c r="A53" s="24" t="s">
        <v>43</v>
      </c>
      <c r="B53" s="25">
        <v>12</v>
      </c>
      <c r="C53" s="20"/>
      <c r="D53" s="21" t="str">
        <f>IF(C53="","UNUSED",IF(COUNTA($C$42:C53)=B53,"USED","GAP"))</f>
        <v>UNUSED</v>
      </c>
    </row>
    <row r="54" ht="28" customHeight="1" spans="1:4">
      <c r="A54" s="14" t="s">
        <v>47</v>
      </c>
      <c r="B54" s="15">
        <v>1</v>
      </c>
      <c r="C54" s="16" t="s">
        <v>109</v>
      </c>
      <c r="D54" s="17" t="str">
        <f>IF(C54="","UNUSED",IF(COUNTA($C$54:C54)=B54,"USED","GAP"))</f>
        <v>USED</v>
      </c>
    </row>
    <row r="55" ht="28" customHeight="1" spans="1:4">
      <c r="A55" s="18" t="s">
        <v>47</v>
      </c>
      <c r="B55" s="19">
        <v>2</v>
      </c>
      <c r="C55" s="20" t="s">
        <v>110</v>
      </c>
      <c r="D55" s="21" t="str">
        <f>IF(C55="","UNUSED",IF(COUNTA($C$54:C55)=B55,"USED","GAP"))</f>
        <v>USED</v>
      </c>
    </row>
    <row r="56" ht="28" customHeight="1" spans="1:4">
      <c r="A56" s="18" t="s">
        <v>47</v>
      </c>
      <c r="B56" s="19">
        <v>3</v>
      </c>
      <c r="C56" s="20" t="s">
        <v>111</v>
      </c>
      <c r="D56" s="21" t="str">
        <f>IF(C56="","UNUSED",IF(COUNTA($C$54:C56)=B56,"USED","GAP"))</f>
        <v>USED</v>
      </c>
    </row>
    <row r="57" ht="28" customHeight="1" spans="1:4">
      <c r="A57" s="18" t="s">
        <v>47</v>
      </c>
      <c r="B57" s="19">
        <v>4</v>
      </c>
      <c r="C57" s="20" t="s">
        <v>112</v>
      </c>
      <c r="D57" s="21" t="str">
        <f>IF(C57="","UNUSED",IF(COUNTA($C$54:C57)=B57,"USED","GAP"))</f>
        <v>USED</v>
      </c>
    </row>
    <row r="58" ht="28" customHeight="1" spans="1:4">
      <c r="A58" s="18" t="s">
        <v>47</v>
      </c>
      <c r="B58" s="19">
        <v>5</v>
      </c>
      <c r="C58" s="20" t="s">
        <v>113</v>
      </c>
      <c r="D58" s="21" t="str">
        <f>IF(C58="","UNUSED",IF(COUNTA($C$54:C58)=B58,"USED","GAP"))</f>
        <v>USED</v>
      </c>
    </row>
    <row r="59" ht="28" customHeight="1" spans="1:4">
      <c r="A59" s="18" t="s">
        <v>47</v>
      </c>
      <c r="B59" s="19">
        <v>6</v>
      </c>
      <c r="C59" s="20" t="s">
        <v>114</v>
      </c>
      <c r="D59" s="21" t="str">
        <f>IF(C59="","UNUSED",IF(COUNTA($C$54:C59)=B59,"USED","GAP"))</f>
        <v>USED</v>
      </c>
    </row>
    <row r="60" ht="28" customHeight="1" spans="1:4">
      <c r="A60" s="18" t="s">
        <v>47</v>
      </c>
      <c r="B60" s="19">
        <v>7</v>
      </c>
      <c r="C60" s="20"/>
      <c r="D60" s="21" t="str">
        <f>IF(C60="","UNUSED",IF(COUNTA($C$54:C60)=B60,"USED","GAP"))</f>
        <v>UNUSED</v>
      </c>
    </row>
    <row r="61" ht="28" customHeight="1" spans="1:4">
      <c r="A61" s="18" t="s">
        <v>47</v>
      </c>
      <c r="B61" s="19">
        <v>8</v>
      </c>
      <c r="C61" s="20"/>
      <c r="D61" s="21" t="str">
        <f>IF(C61="","UNUSED",IF(COUNTA($C$54:C61)=B61,"USED","GAP"))</f>
        <v>UNUSED</v>
      </c>
    </row>
    <row r="62" ht="28" customHeight="1" spans="1:4">
      <c r="A62" s="18" t="s">
        <v>47</v>
      </c>
      <c r="B62" s="19">
        <v>9</v>
      </c>
      <c r="C62" s="20"/>
      <c r="D62" s="21" t="str">
        <f>IF(C62="","UNUSED",IF(COUNTA($C$54:C62)=B62,"USED","GAP"))</f>
        <v>UNUSED</v>
      </c>
    </row>
    <row r="63" ht="28" customHeight="1" spans="1:4">
      <c r="A63" s="18" t="s">
        <v>47</v>
      </c>
      <c r="B63" s="19">
        <v>10</v>
      </c>
      <c r="C63" s="20"/>
      <c r="D63" s="21" t="str">
        <f>IF(C63="","UNUSED",IF(COUNTA($C$54:C63)=B63,"USED","GAP"))</f>
        <v>UNUSED</v>
      </c>
    </row>
    <row r="64" ht="28" customHeight="1" spans="1:4">
      <c r="A64" s="18" t="s">
        <v>47</v>
      </c>
      <c r="B64" s="19">
        <v>11</v>
      </c>
      <c r="C64" s="20"/>
      <c r="D64" s="21" t="str">
        <f>IF(C64="","UNUSED",IF(COUNTA($C$54:C64)=B64,"USED","GAP"))</f>
        <v>UNUSED</v>
      </c>
    </row>
    <row r="65" ht="28" customHeight="1" spans="1:4">
      <c r="A65" s="18" t="s">
        <v>47</v>
      </c>
      <c r="B65" s="19">
        <v>12</v>
      </c>
      <c r="C65" s="20"/>
      <c r="D65" s="21" t="str">
        <f>IF(C65="","UNUSED",IF(COUNTA($C$54:C65)=B65,"USED","GAP"))</f>
        <v>UNUSED</v>
      </c>
    </row>
    <row r="66" ht="28" customHeight="1" spans="1:4">
      <c r="A66" s="22" t="s">
        <v>51</v>
      </c>
      <c r="B66" s="23">
        <v>1</v>
      </c>
      <c r="C66" s="16" t="s">
        <v>115</v>
      </c>
      <c r="D66" s="17" t="str">
        <f>IF(C66="","UNUSED",IF(COUNTA($C$66:C66)=B66,"USED","GAP"))</f>
        <v>USED</v>
      </c>
    </row>
    <row r="67" ht="28" customHeight="1" spans="1:4">
      <c r="A67" s="24" t="s">
        <v>51</v>
      </c>
      <c r="B67" s="25">
        <v>2</v>
      </c>
      <c r="C67" s="20" t="s">
        <v>116</v>
      </c>
      <c r="D67" s="21" t="str">
        <f>IF(C67="","UNUSED",IF(COUNTA($C$66:C67)=B67,"USED","GAP"))</f>
        <v>USED</v>
      </c>
    </row>
    <row r="68" ht="28" customHeight="1" spans="1:4">
      <c r="A68" s="24" t="s">
        <v>51</v>
      </c>
      <c r="B68" s="25">
        <v>3</v>
      </c>
      <c r="C68" s="20" t="s">
        <v>102</v>
      </c>
      <c r="D68" s="21" t="str">
        <f>IF(C68="","UNUSED",IF(COUNTA($C$66:C68)=B68,"USED","GAP"))</f>
        <v>USED</v>
      </c>
    </row>
    <row r="69" ht="28" customHeight="1" spans="1:4">
      <c r="A69" s="24" t="s">
        <v>51</v>
      </c>
      <c r="B69" s="25">
        <v>4</v>
      </c>
      <c r="C69" s="20" t="s">
        <v>117</v>
      </c>
      <c r="D69" s="21" t="str">
        <f>IF(C69="","UNUSED",IF(COUNTA($C$66:C69)=B69,"USED","GAP"))</f>
        <v>USED</v>
      </c>
    </row>
    <row r="70" ht="28" customHeight="1" spans="1:4">
      <c r="A70" s="24" t="s">
        <v>51</v>
      </c>
      <c r="B70" s="25">
        <v>5</v>
      </c>
      <c r="C70" s="20" t="s">
        <v>118</v>
      </c>
      <c r="D70" s="21" t="str">
        <f>IF(C70="","UNUSED",IF(COUNTA($C$66:C70)=B70,"USED","GAP"))</f>
        <v>USED</v>
      </c>
    </row>
    <row r="71" ht="28" customHeight="1" spans="1:4">
      <c r="A71" s="24" t="s">
        <v>51</v>
      </c>
      <c r="B71" s="25">
        <v>6</v>
      </c>
      <c r="C71" s="20"/>
      <c r="D71" s="21" t="str">
        <f>IF(C71="","UNUSED",IF(COUNTA($C$66:C71)=B71,"USED","GAP"))</f>
        <v>UNUSED</v>
      </c>
    </row>
    <row r="72" ht="28" customHeight="1" spans="1:4">
      <c r="A72" s="24" t="s">
        <v>51</v>
      </c>
      <c r="B72" s="25">
        <v>7</v>
      </c>
      <c r="C72" s="20"/>
      <c r="D72" s="21" t="str">
        <f>IF(C72="","UNUSED",IF(COUNTA($C$66:C72)=B72,"USED","GAP"))</f>
        <v>UNUSED</v>
      </c>
    </row>
    <row r="73" ht="28" customHeight="1" spans="1:4">
      <c r="A73" s="24" t="s">
        <v>51</v>
      </c>
      <c r="B73" s="25">
        <v>8</v>
      </c>
      <c r="C73" s="20"/>
      <c r="D73" s="21" t="str">
        <f>IF(C73="","UNUSED",IF(COUNTA($C$66:C73)=B73,"USED","GAP"))</f>
        <v>UNUSED</v>
      </c>
    </row>
    <row r="74" ht="28" customHeight="1" spans="1:4">
      <c r="A74" s="24" t="s">
        <v>51</v>
      </c>
      <c r="B74" s="25">
        <v>9</v>
      </c>
      <c r="C74" s="20"/>
      <c r="D74" s="21" t="str">
        <f>IF(C74="","UNUSED",IF(COUNTA($C$66:C74)=B74,"USED","GAP"))</f>
        <v>UNUSED</v>
      </c>
    </row>
    <row r="75" ht="28" customHeight="1" spans="1:4">
      <c r="A75" s="24" t="s">
        <v>51</v>
      </c>
      <c r="B75" s="25">
        <v>10</v>
      </c>
      <c r="C75" s="20"/>
      <c r="D75" s="21" t="str">
        <f>IF(C75="","UNUSED",IF(COUNTA($C$66:C75)=B75,"USED","GAP"))</f>
        <v>UNUSED</v>
      </c>
    </row>
    <row r="76" ht="28" customHeight="1" spans="1:4">
      <c r="A76" s="24" t="s">
        <v>51</v>
      </c>
      <c r="B76" s="25">
        <v>11</v>
      </c>
      <c r="C76" s="20"/>
      <c r="D76" s="21" t="str">
        <f>IF(C76="","UNUSED",IF(COUNTA($C$66:C76)=B76,"USED","GAP"))</f>
        <v>UNUSED</v>
      </c>
    </row>
    <row r="77" ht="28" customHeight="1" spans="1:4">
      <c r="A77" s="24" t="s">
        <v>51</v>
      </c>
      <c r="B77" s="25">
        <v>12</v>
      </c>
      <c r="C77" s="20"/>
      <c r="D77" s="21" t="str">
        <f>IF(C77="","UNUSED",IF(COUNTA($C$66:C77)=B77,"USED","GAP"))</f>
        <v>UNUSED</v>
      </c>
    </row>
    <row r="78" ht="28" customHeight="1" spans="1:4">
      <c r="A78" s="14" t="s">
        <v>54</v>
      </c>
      <c r="B78" s="15">
        <v>1</v>
      </c>
      <c r="C78" s="16" t="s">
        <v>119</v>
      </c>
      <c r="D78" s="17" t="str">
        <f>IF(C78="","UNUSED",IF(COUNTA($C$78:C78)=B78,"USED","GAP"))</f>
        <v>USED</v>
      </c>
    </row>
    <row r="79" ht="28" customHeight="1" spans="1:4">
      <c r="A79" s="18" t="s">
        <v>54</v>
      </c>
      <c r="B79" s="19">
        <v>2</v>
      </c>
      <c r="C79" s="20" t="s">
        <v>120</v>
      </c>
      <c r="D79" s="21" t="str">
        <f>IF(C79="","UNUSED",IF(COUNTA($C$78:C79)=B79,"USED","GAP"))</f>
        <v>USED</v>
      </c>
    </row>
    <row r="80" ht="28" customHeight="1" spans="1:4">
      <c r="A80" s="18" t="s">
        <v>54</v>
      </c>
      <c r="B80" s="19">
        <v>3</v>
      </c>
      <c r="C80" s="20" t="s">
        <v>121</v>
      </c>
      <c r="D80" s="21" t="str">
        <f>IF(C80="","UNUSED",IF(COUNTA($C$78:C80)=B80,"USED","GAP"))</f>
        <v>USED</v>
      </c>
    </row>
    <row r="81" ht="28" customHeight="1" spans="1:4">
      <c r="A81" s="18" t="s">
        <v>54</v>
      </c>
      <c r="B81" s="19">
        <v>4</v>
      </c>
      <c r="C81" s="20" t="s">
        <v>122</v>
      </c>
      <c r="D81" s="21" t="str">
        <f>IF(C81="","UNUSED",IF(COUNTA($C$78:C81)=B81,"USED","GAP"))</f>
        <v>USED</v>
      </c>
    </row>
    <row r="82" ht="28" customHeight="1" spans="1:4">
      <c r="A82" s="18" t="s">
        <v>54</v>
      </c>
      <c r="B82" s="19">
        <v>5</v>
      </c>
      <c r="C82" s="20" t="s">
        <v>123</v>
      </c>
      <c r="D82" s="21" t="str">
        <f>IF(C82="","UNUSED",IF(COUNTA($C$78:C82)=B82,"USED","GAP"))</f>
        <v>USED</v>
      </c>
    </row>
    <row r="83" ht="28" customHeight="1" spans="1:4">
      <c r="A83" s="18" t="s">
        <v>54</v>
      </c>
      <c r="B83" s="19">
        <v>6</v>
      </c>
      <c r="C83" s="20" t="s">
        <v>124</v>
      </c>
      <c r="D83" s="21" t="str">
        <f>IF(C83="","UNUSED",IF(COUNTA($C$78:C83)=B83,"USED","GAP"))</f>
        <v>USED</v>
      </c>
    </row>
    <row r="84" ht="28" customHeight="1" spans="1:4">
      <c r="A84" s="18" t="s">
        <v>54</v>
      </c>
      <c r="B84" s="19">
        <v>7</v>
      </c>
      <c r="C84" s="20"/>
      <c r="D84" s="21" t="str">
        <f>IF(C84="","UNUSED",IF(COUNTA($C$78:C84)=B84,"USED","GAP"))</f>
        <v>UNUSED</v>
      </c>
    </row>
    <row r="85" ht="28" customHeight="1" spans="1:4">
      <c r="A85" s="18" t="s">
        <v>54</v>
      </c>
      <c r="B85" s="19">
        <v>8</v>
      </c>
      <c r="C85" s="20"/>
      <c r="D85" s="21" t="str">
        <f>IF(C85="","UNUSED",IF(COUNTA($C$78:C85)=B85,"USED","GAP"))</f>
        <v>UNUSED</v>
      </c>
    </row>
    <row r="86" ht="28" customHeight="1" spans="1:4">
      <c r="A86" s="18" t="s">
        <v>54</v>
      </c>
      <c r="B86" s="19">
        <v>9</v>
      </c>
      <c r="C86" s="20"/>
      <c r="D86" s="21" t="str">
        <f>IF(C86="","UNUSED",IF(COUNTA($C$78:C86)=B86,"USED","GAP"))</f>
        <v>UNUSED</v>
      </c>
    </row>
    <row r="87" ht="28" customHeight="1" spans="1:4">
      <c r="A87" s="18" t="s">
        <v>54</v>
      </c>
      <c r="B87" s="19">
        <v>10</v>
      </c>
      <c r="C87" s="20"/>
      <c r="D87" s="21" t="str">
        <f>IF(C87="","UNUSED",IF(COUNTA($C$78:C87)=B87,"USED","GAP"))</f>
        <v>UNUSED</v>
      </c>
    </row>
    <row r="88" ht="28" customHeight="1" spans="1:4">
      <c r="A88" s="18" t="s">
        <v>54</v>
      </c>
      <c r="B88" s="19">
        <v>11</v>
      </c>
      <c r="C88" s="20"/>
      <c r="D88" s="21" t="str">
        <f>IF(C88="","UNUSED",IF(COUNTA($C$78:C88)=B88,"USED","GAP"))</f>
        <v>UNUSED</v>
      </c>
    </row>
    <row r="89" ht="28" customHeight="1" spans="1:4">
      <c r="A89" s="18" t="s">
        <v>54</v>
      </c>
      <c r="B89" s="19">
        <v>12</v>
      </c>
      <c r="C89" s="20"/>
      <c r="D89" s="21" t="str">
        <f>IF(C89="","UNUSED",IF(COUNTA($C$78:C89)=B89,"USED","GAP"))</f>
        <v>UNUSED</v>
      </c>
    </row>
    <row r="90" ht="28" customHeight="1" spans="1:4">
      <c r="A90" s="22" t="s">
        <v>58</v>
      </c>
      <c r="B90" s="23">
        <v>1</v>
      </c>
      <c r="C90" s="16" t="s">
        <v>125</v>
      </c>
      <c r="D90" s="17" t="str">
        <f>IF(C90="","UNUSED",IF(COUNTA($C$90:C90)=B90,"USED","GAP"))</f>
        <v>USED</v>
      </c>
    </row>
    <row r="91" ht="28" customHeight="1" spans="1:4">
      <c r="A91" s="24" t="s">
        <v>58</v>
      </c>
      <c r="B91" s="25">
        <v>2</v>
      </c>
      <c r="C91" s="20" t="s">
        <v>115</v>
      </c>
      <c r="D91" s="21" t="str">
        <f>IF(C91="","UNUSED",IF(COUNTA($C$90:C91)=B91,"USED","GAP"))</f>
        <v>USED</v>
      </c>
    </row>
    <row r="92" ht="28" customHeight="1" spans="1:4">
      <c r="A92" s="24" t="s">
        <v>58</v>
      </c>
      <c r="B92" s="25">
        <v>3</v>
      </c>
      <c r="C92" s="20" t="s">
        <v>116</v>
      </c>
      <c r="D92" s="21" t="str">
        <f>IF(C92="","UNUSED",IF(COUNTA($C$90:C92)=B92,"USED","GAP"))</f>
        <v>USED</v>
      </c>
    </row>
    <row r="93" ht="28" customHeight="1" spans="1:4">
      <c r="A93" s="24" t="s">
        <v>58</v>
      </c>
      <c r="B93" s="25">
        <v>4</v>
      </c>
      <c r="C93" s="20" t="s">
        <v>126</v>
      </c>
      <c r="D93" s="21" t="str">
        <f>IF(C93="","UNUSED",IF(COUNTA($C$90:C93)=B93,"USED","GAP"))</f>
        <v>USED</v>
      </c>
    </row>
    <row r="94" ht="28" customHeight="1" spans="1:4">
      <c r="A94" s="24" t="s">
        <v>58</v>
      </c>
      <c r="B94" s="25">
        <v>5</v>
      </c>
      <c r="C94" s="20" t="s">
        <v>127</v>
      </c>
      <c r="D94" s="21" t="str">
        <f>IF(C94="","UNUSED",IF(COUNTA($C$90:C94)=B94,"USED","GAP"))</f>
        <v>USED</v>
      </c>
    </row>
    <row r="95" ht="28" customHeight="1" spans="1:4">
      <c r="A95" s="24" t="s">
        <v>58</v>
      </c>
      <c r="B95" s="25">
        <v>6</v>
      </c>
      <c r="C95" s="20" t="s">
        <v>128</v>
      </c>
      <c r="D95" s="21" t="str">
        <f>IF(C95="","UNUSED",IF(COUNTA($C$90:C95)=B95,"USED","GAP"))</f>
        <v>USED</v>
      </c>
    </row>
    <row r="96" ht="28" customHeight="1" spans="1:4">
      <c r="A96" s="24" t="s">
        <v>58</v>
      </c>
      <c r="B96" s="25">
        <v>7</v>
      </c>
      <c r="C96" s="20" t="s">
        <v>129</v>
      </c>
      <c r="D96" s="21" t="str">
        <f>IF(C96="","UNUSED",IF(COUNTA($C$90:C96)=B96,"USED","GAP"))</f>
        <v>USED</v>
      </c>
    </row>
    <row r="97" ht="28" customHeight="1" spans="1:4">
      <c r="A97" s="24" t="s">
        <v>58</v>
      </c>
      <c r="B97" s="25">
        <v>8</v>
      </c>
      <c r="C97" s="20" t="s">
        <v>130</v>
      </c>
      <c r="D97" s="21" t="str">
        <f>IF(C97="","UNUSED",IF(COUNTA($C$90:C97)=B97,"USED","GAP"))</f>
        <v>USED</v>
      </c>
    </row>
    <row r="98" ht="28" customHeight="1" spans="1:4">
      <c r="A98" s="24" t="s">
        <v>58</v>
      </c>
      <c r="B98" s="25">
        <v>9</v>
      </c>
      <c r="C98" s="20"/>
      <c r="D98" s="21" t="str">
        <f>IF(C98="","UNUSED",IF(COUNTA($C$90:C98)=B98,"USED","GAP"))</f>
        <v>UNUSED</v>
      </c>
    </row>
    <row r="99" ht="28" customHeight="1" spans="1:4">
      <c r="A99" s="24" t="s">
        <v>58</v>
      </c>
      <c r="B99" s="25">
        <v>10</v>
      </c>
      <c r="C99" s="20"/>
      <c r="D99" s="21" t="str">
        <f>IF(C99="","UNUSED",IF(COUNTA($C$90:C99)=B99,"USED","GAP"))</f>
        <v>UNUSED</v>
      </c>
    </row>
    <row r="100" ht="28" customHeight="1" spans="1:4">
      <c r="A100" s="24" t="s">
        <v>58</v>
      </c>
      <c r="B100" s="25">
        <v>11</v>
      </c>
      <c r="C100" s="20"/>
      <c r="D100" s="21" t="str">
        <f>IF(C100="","UNUSED",IF(COUNTA($C$90:C100)=B100,"USED","GAP"))</f>
        <v>UNUSED</v>
      </c>
    </row>
    <row r="101" ht="28" customHeight="1" spans="1:4">
      <c r="A101" s="24" t="s">
        <v>58</v>
      </c>
      <c r="B101" s="25">
        <v>12</v>
      </c>
      <c r="C101" s="20"/>
      <c r="D101" s="21" t="str">
        <f>IF(C101="","UNUSED",IF(COUNTA($C$90:C101)=B101,"USED","GAP"))</f>
        <v>UNUSED</v>
      </c>
    </row>
    <row r="102" ht="28" customHeight="1" spans="1:4">
      <c r="A102" s="14" t="s">
        <v>61</v>
      </c>
      <c r="B102" s="15">
        <v>1</v>
      </c>
      <c r="C102" s="16" t="s">
        <v>131</v>
      </c>
      <c r="D102" s="17" t="str">
        <f>IF(C102="","UNUSED",IF(COUNTA($C$102:C102)=B102,"USED","GAP"))</f>
        <v>USED</v>
      </c>
    </row>
    <row r="103" ht="28" customHeight="1" spans="1:4">
      <c r="A103" s="18" t="s">
        <v>61</v>
      </c>
      <c r="B103" s="19">
        <v>2</v>
      </c>
      <c r="C103" s="20" t="s">
        <v>132</v>
      </c>
      <c r="D103" s="21" t="str">
        <f>IF(C103="","UNUSED",IF(COUNTA($C$102:C103)=B103,"USED","GAP"))</f>
        <v>USED</v>
      </c>
    </row>
    <row r="104" ht="28" customHeight="1" spans="1:4">
      <c r="A104" s="18" t="s">
        <v>61</v>
      </c>
      <c r="B104" s="19">
        <v>3</v>
      </c>
      <c r="C104" s="20" t="s">
        <v>133</v>
      </c>
      <c r="D104" s="21" t="str">
        <f>IF(C104="","UNUSED",IF(COUNTA($C$102:C104)=B104,"USED","GAP"))</f>
        <v>USED</v>
      </c>
    </row>
    <row r="105" ht="28" customHeight="1" spans="1:4">
      <c r="A105" s="18" t="s">
        <v>61</v>
      </c>
      <c r="B105" s="19">
        <v>4</v>
      </c>
      <c r="C105" s="20"/>
      <c r="D105" s="21" t="str">
        <f>IF(C105="","UNUSED",IF(COUNTA($C$102:C105)=B105,"USED","GAP"))</f>
        <v>UNUSED</v>
      </c>
    </row>
    <row r="106" ht="28" customHeight="1" spans="1:4">
      <c r="A106" s="18" t="s">
        <v>61</v>
      </c>
      <c r="B106" s="19">
        <v>5</v>
      </c>
      <c r="C106" s="20"/>
      <c r="D106" s="21" t="str">
        <f>IF(C106="","UNUSED",IF(COUNTA($C$102:C106)=B106,"USED","GAP"))</f>
        <v>UNUSED</v>
      </c>
    </row>
    <row r="107" ht="28" customHeight="1" spans="1:4">
      <c r="A107" s="18" t="s">
        <v>61</v>
      </c>
      <c r="B107" s="19">
        <v>6</v>
      </c>
      <c r="C107" s="20"/>
      <c r="D107" s="21" t="str">
        <f>IF(C107="","UNUSED",IF(COUNTA($C$102:C107)=B107,"USED","GAP"))</f>
        <v>UNUSED</v>
      </c>
    </row>
    <row r="108" ht="28" customHeight="1" spans="1:4">
      <c r="A108" s="18" t="s">
        <v>61</v>
      </c>
      <c r="B108" s="19">
        <v>7</v>
      </c>
      <c r="C108" s="20"/>
      <c r="D108" s="21" t="str">
        <f>IF(C108="","UNUSED",IF(COUNTA($C$102:C108)=B108,"USED","GAP"))</f>
        <v>UNUSED</v>
      </c>
    </row>
    <row r="109" ht="28" customHeight="1" spans="1:4">
      <c r="A109" s="18" t="s">
        <v>61</v>
      </c>
      <c r="B109" s="19">
        <v>8</v>
      </c>
      <c r="C109" s="20"/>
      <c r="D109" s="21" t="str">
        <f>IF(C109="","UNUSED",IF(COUNTA($C$102:C109)=B109,"USED","GAP"))</f>
        <v>UNUSED</v>
      </c>
    </row>
    <row r="110" ht="28" customHeight="1" spans="1:4">
      <c r="A110" s="18" t="s">
        <v>61</v>
      </c>
      <c r="B110" s="19">
        <v>9</v>
      </c>
      <c r="C110" s="20"/>
      <c r="D110" s="21" t="str">
        <f>IF(C110="","UNUSED",IF(COUNTA($C$102:C110)=B110,"USED","GAP"))</f>
        <v>UNUSED</v>
      </c>
    </row>
    <row r="111" ht="28" customHeight="1" spans="1:4">
      <c r="A111" s="18" t="s">
        <v>61</v>
      </c>
      <c r="B111" s="19">
        <v>10</v>
      </c>
      <c r="C111" s="20"/>
      <c r="D111" s="21" t="str">
        <f>IF(C111="","UNUSED",IF(COUNTA($C$102:C111)=B111,"USED","GAP"))</f>
        <v>UNUSED</v>
      </c>
    </row>
    <row r="112" ht="28" customHeight="1" spans="1:4">
      <c r="A112" s="18" t="s">
        <v>61</v>
      </c>
      <c r="B112" s="19">
        <v>11</v>
      </c>
      <c r="C112" s="20"/>
      <c r="D112" s="21" t="str">
        <f>IF(C112="","UNUSED",IF(COUNTA($C$102:C112)=B112,"USED","GAP"))</f>
        <v>UNUSED</v>
      </c>
    </row>
    <row r="113" ht="28" customHeight="1" spans="1:4">
      <c r="A113" s="26" t="s">
        <v>61</v>
      </c>
      <c r="B113" s="27">
        <v>12</v>
      </c>
      <c r="C113" s="28"/>
      <c r="D113" s="29" t="str">
        <f>IF(C113="","UNUSED",IF(COUNTA($C$102:C113)=B113,"USED","GAP"))</f>
        <v>UNUSED</v>
      </c>
    </row>
  </sheetData>
  <mergeCells count="2">
    <mergeCell ref="A4:D4"/>
    <mergeCell ref="A1:D2"/>
  </mergeCells>
  <conditionalFormatting sqref="D6:D113">
    <cfRule type="containsText" dxfId="0" priority="1" operator="between" text="PASS">
      <formula>NOT(ISERROR(SEARCH("PASS",D6)))</formula>
    </cfRule>
    <cfRule type="containsText" dxfId="1" priority="2" operator="between" text="INCOMPLETE">
      <formula>NOT(ISERROR(SEARCH("INCOMPLETE",D6)))</formula>
    </cfRule>
    <cfRule type="containsText" dxfId="1" priority="3" operator="between" text="GAP">
      <formula>NOT(ISERROR(SEARCH("GAP",D6)))</formula>
    </cfRule>
  </conditionalFormatting>
  <pageMargins left="0.7" right="0.7" top="0.75" bottom="0.75" header="0.3" footer="0.3"/>
  <headerFooter/>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1"/>
  <sheetViews>
    <sheetView showGridLines="0" workbookViewId="0">
      <selection activeCell="A1" sqref="A1:E2"/>
    </sheetView>
  </sheetViews>
  <sheetFormatPr defaultColWidth="9" defaultRowHeight="13.8" outlineLevelCol="4"/>
  <cols>
    <col min="1" max="1" width="30" customWidth="1"/>
    <col min="2" max="4" width="20" customWidth="1"/>
    <col min="5" max="5" width="64" customWidth="1"/>
  </cols>
  <sheetData>
    <row r="1" ht="28" customHeight="1" spans="1:5">
      <c r="A1" s="1" t="s">
        <v>134</v>
      </c>
      <c r="B1" s="1"/>
      <c r="C1" s="1"/>
      <c r="D1" s="1"/>
      <c r="E1" s="1"/>
    </row>
    <row r="2" ht="28" customHeight="1" spans="1:5">
      <c r="A2" s="1"/>
      <c r="B2" s="1"/>
      <c r="C2" s="1"/>
      <c r="D2" s="1"/>
      <c r="E2" s="1"/>
    </row>
    <row r="4" spans="1:5">
      <c r="A4" s="2" t="s">
        <v>135</v>
      </c>
      <c r="B4" s="2" t="s">
        <v>136</v>
      </c>
      <c r="C4" s="2" t="s">
        <v>137</v>
      </c>
      <c r="D4" s="2" t="s">
        <v>138</v>
      </c>
      <c r="E4" s="2" t="s">
        <v>139</v>
      </c>
    </row>
    <row r="5" ht="44" customHeight="1" spans="1:5">
      <c r="A5" s="3" t="s">
        <v>140</v>
      </c>
      <c r="B5" s="3">
        <v>9</v>
      </c>
      <c r="C5" s="4">
        <f>COUNTA(Materials!$A$6:$A$14)</f>
        <v>9</v>
      </c>
      <c r="D5" s="4" t="str">
        <f>IF(B5=C5,"PASS","INCOMPLETE")</f>
        <v>PASS</v>
      </c>
      <c r="E5" s="5" t="s">
        <v>141</v>
      </c>
    </row>
    <row r="6" ht="44" customHeight="1" spans="1:5">
      <c r="A6" s="3" t="s">
        <v>142</v>
      </c>
      <c r="B6" s="3">
        <v>9</v>
      </c>
      <c r="C6" s="4">
        <f>COUNTIF('MP Coding'!$J$6:$J$14,"PASS")</f>
        <v>9</v>
      </c>
      <c r="D6" s="4" t="str">
        <f>IF(B6=C6,"PASS","INCOMPLETE")</f>
        <v>PASS</v>
      </c>
      <c r="E6" s="5" t="s">
        <v>143</v>
      </c>
    </row>
    <row r="7" ht="44" customHeight="1" spans="1:5">
      <c r="A7" s="3" t="s">
        <v>144</v>
      </c>
      <c r="B7" s="3">
        <v>9</v>
      </c>
      <c r="C7" s="4">
        <f>COUNTIF('MP Coding'!$K$6:$K$14,"PASS")</f>
        <v>9</v>
      </c>
      <c r="D7" s="4" t="str">
        <f>IF(B7=C7,"PASS","INCOMPLETE")</f>
        <v>PASS</v>
      </c>
      <c r="E7" s="5" t="s">
        <v>145</v>
      </c>
    </row>
    <row r="8" ht="44" customHeight="1" spans="1:5">
      <c r="A8" s="3" t="s">
        <v>146</v>
      </c>
      <c r="B8" s="3" t="s">
        <v>147</v>
      </c>
      <c r="C8" s="4" t="str">
        <f>'Start Here'!$B$19</f>
        <v>PASS</v>
      </c>
      <c r="D8" s="4" t="str">
        <f>IF(B8=C8,"PASS","INCOMPLETE")</f>
        <v>PASS</v>
      </c>
      <c r="E8" s="5" t="s">
        <v>148</v>
      </c>
    </row>
    <row r="9" ht="44" customHeight="1" spans="1:5">
      <c r="A9" s="3" t="s">
        <v>149</v>
      </c>
      <c r="B9" s="3" t="s">
        <v>147</v>
      </c>
      <c r="C9" s="4" t="str">
        <f>IF(AND(D5="PASS",D6="PASS",D7="PASS",D8="PASS"),"PASS","INCOMPLETE")</f>
        <v>PASS</v>
      </c>
      <c r="D9" s="4" t="str">
        <f>C9</f>
        <v>PASS</v>
      </c>
      <c r="E9" s="5" t="s">
        <v>150</v>
      </c>
    </row>
    <row r="12" spans="1:5">
      <c r="A12" s="2" t="s">
        <v>151</v>
      </c>
      <c r="B12" s="2" t="s">
        <v>152</v>
      </c>
      <c r="C12" s="2" t="s">
        <v>153</v>
      </c>
      <c r="D12" s="2" t="s">
        <v>154</v>
      </c>
      <c r="E12" s="2" t="s">
        <v>155</v>
      </c>
    </row>
    <row r="13" spans="1:5">
      <c r="A13" s="6" t="s">
        <v>33</v>
      </c>
      <c r="B13" s="7">
        <f>COUNTA('UCR Segmentation'!$C$6:$C$17)</f>
        <v>7</v>
      </c>
      <c r="C13" s="7">
        <f>COUNTIF('UCR Segmentation'!$D$6:$D$17,"GAP")</f>
        <v>0</v>
      </c>
      <c r="D13" s="7" t="str">
        <f>IF('MP Coding'!$H$6="","",'MP Coding'!$H$6)</f>
        <v>Yes</v>
      </c>
      <c r="E13" s="7" t="str">
        <f>'MP Coding'!$K$6</f>
        <v>PASS</v>
      </c>
    </row>
    <row r="14" spans="1:5">
      <c r="A14" s="6" t="s">
        <v>37</v>
      </c>
      <c r="B14" s="7">
        <f>COUNTA('UCR Segmentation'!$C$18:$C$29)</f>
        <v>2</v>
      </c>
      <c r="C14" s="7">
        <f>COUNTIF('UCR Segmentation'!$D$18:$D$29,"GAP")</f>
        <v>0</v>
      </c>
      <c r="D14" s="7" t="str">
        <f>IF('MP Coding'!$H$7="","",'MP Coding'!$H$7)</f>
        <v>Yes</v>
      </c>
      <c r="E14" s="7" t="str">
        <f>'MP Coding'!$K$7</f>
        <v>PASS</v>
      </c>
    </row>
    <row r="15" spans="1:5">
      <c r="A15" s="6" t="s">
        <v>40</v>
      </c>
      <c r="B15" s="7">
        <f>COUNTA('UCR Segmentation'!$C$30:$C$41)</f>
        <v>5</v>
      </c>
      <c r="C15" s="7">
        <f>COUNTIF('UCR Segmentation'!$D$30:$D$41,"GAP")</f>
        <v>0</v>
      </c>
      <c r="D15" s="7" t="str">
        <f>IF('MP Coding'!$H$8="","",'MP Coding'!$H$8)</f>
        <v>Yes</v>
      </c>
      <c r="E15" s="7" t="str">
        <f>'MP Coding'!$K$8</f>
        <v>PASS</v>
      </c>
    </row>
    <row r="16" spans="1:5">
      <c r="A16" s="6" t="s">
        <v>43</v>
      </c>
      <c r="B16" s="7">
        <f>COUNTA('UCR Segmentation'!$C$42:$C$53)</f>
        <v>4</v>
      </c>
      <c r="C16" s="7">
        <f>COUNTIF('UCR Segmentation'!$D$42:$D$53,"GAP")</f>
        <v>0</v>
      </c>
      <c r="D16" s="7" t="str">
        <f>IF('MP Coding'!$H$9="","",'MP Coding'!$H$9)</f>
        <v>Yes</v>
      </c>
      <c r="E16" s="7" t="str">
        <f>'MP Coding'!$K$9</f>
        <v>PASS</v>
      </c>
    </row>
    <row r="17" spans="1:5">
      <c r="A17" s="6" t="s">
        <v>47</v>
      </c>
      <c r="B17" s="7">
        <f>COUNTA('UCR Segmentation'!$C$54:$C$65)</f>
        <v>6</v>
      </c>
      <c r="C17" s="7">
        <f>COUNTIF('UCR Segmentation'!$D$54:$D$65,"GAP")</f>
        <v>0</v>
      </c>
      <c r="D17" s="7" t="str">
        <f>IF('MP Coding'!$H$10="","",'MP Coding'!$H$10)</f>
        <v>Yes</v>
      </c>
      <c r="E17" s="7" t="str">
        <f>'MP Coding'!$K$10</f>
        <v>PASS</v>
      </c>
    </row>
    <row r="18" spans="1:5">
      <c r="A18" s="6" t="s">
        <v>51</v>
      </c>
      <c r="B18" s="7">
        <f>COUNTA('UCR Segmentation'!$C$66:$C$77)</f>
        <v>5</v>
      </c>
      <c r="C18" s="7">
        <f>COUNTIF('UCR Segmentation'!$D$66:$D$77,"GAP")</f>
        <v>0</v>
      </c>
      <c r="D18" s="7" t="str">
        <f>IF('MP Coding'!$H$11="","",'MP Coding'!$H$11)</f>
        <v>Yes</v>
      </c>
      <c r="E18" s="7" t="str">
        <f>'MP Coding'!$K$11</f>
        <v>PASS</v>
      </c>
    </row>
    <row r="19" spans="1:5">
      <c r="A19" s="6" t="s">
        <v>54</v>
      </c>
      <c r="B19" s="7">
        <f>COUNTA('UCR Segmentation'!$C$78:$C$89)</f>
        <v>6</v>
      </c>
      <c r="C19" s="7">
        <f>COUNTIF('UCR Segmentation'!$D$78:$D$89,"GAP")</f>
        <v>0</v>
      </c>
      <c r="D19" s="7" t="str">
        <f>IF('MP Coding'!$H$12="","",'MP Coding'!$H$12)</f>
        <v>Yes</v>
      </c>
      <c r="E19" s="7" t="str">
        <f>'MP Coding'!$K$12</f>
        <v>PASS</v>
      </c>
    </row>
    <row r="20" spans="1:5">
      <c r="A20" s="6" t="s">
        <v>58</v>
      </c>
      <c r="B20" s="7">
        <f>COUNTA('UCR Segmentation'!$C$90:$C$101)</f>
        <v>8</v>
      </c>
      <c r="C20" s="7">
        <f>COUNTIF('UCR Segmentation'!$D$90:$D$101,"GAP")</f>
        <v>0</v>
      </c>
      <c r="D20" s="7" t="str">
        <f>IF('MP Coding'!$H$13="","",'MP Coding'!$H$13)</f>
        <v>Yes</v>
      </c>
      <c r="E20" s="7" t="str">
        <f>'MP Coding'!$K$13</f>
        <v>PASS</v>
      </c>
    </row>
    <row r="21" spans="1:5">
      <c r="A21" s="6" t="s">
        <v>61</v>
      </c>
      <c r="B21" s="7">
        <f>COUNTA('UCR Segmentation'!$C$102:$C$113)</f>
        <v>3</v>
      </c>
      <c r="C21" s="7">
        <f>COUNTIF('UCR Segmentation'!$D$102:$D$113,"GAP")</f>
        <v>0</v>
      </c>
      <c r="D21" s="7" t="str">
        <f>IF('MP Coding'!$H$14="","",'MP Coding'!$H$14)</f>
        <v>Yes</v>
      </c>
      <c r="E21" s="7" t="str">
        <f>'MP Coding'!$K$14</f>
        <v>PASS</v>
      </c>
    </row>
  </sheetData>
  <mergeCells count="1">
    <mergeCell ref="A1:E2"/>
  </mergeCells>
  <conditionalFormatting sqref="E13:E21">
    <cfRule type="containsText" dxfId="0" priority="4" operator="between" text="PASS">
      <formula>NOT(ISERROR(SEARCH("PASS",E13)))</formula>
    </cfRule>
    <cfRule type="containsText" dxfId="1" priority="5" operator="between" text="INCOMPLETE">
      <formula>NOT(ISERROR(SEARCH("INCOMPLETE",E13)))</formula>
    </cfRule>
    <cfRule type="containsText" dxfId="1" priority="6" operator="between" text="GAP">
      <formula>NOT(ISERROR(SEARCH("GAP",E13)))</formula>
    </cfRule>
  </conditionalFormatting>
  <conditionalFormatting sqref="C5:D9">
    <cfRule type="containsText" dxfId="0" priority="1" operator="between" text="PASS">
      <formula>NOT(ISERROR(SEARCH("PASS",C5)))</formula>
    </cfRule>
    <cfRule type="containsText" dxfId="1" priority="2" operator="between" text="INCOMPLETE">
      <formula>NOT(ISERROR(SEARCH("INCOMPLETE",C5)))</formula>
    </cfRule>
    <cfRule type="containsText" dxfId="1" priority="3" operator="between" text="GAP">
      <formula>NOT(ISERROR(SEARCH("GAP",C5)))</formula>
    </cfRule>
  </conditionalFormatting>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5</vt:i4>
      </vt:variant>
    </vt:vector>
  </HeadingPairs>
  <TitlesOfParts>
    <vt:vector size="5" baseType="lpstr">
      <vt:lpstr>Start Here</vt:lpstr>
      <vt:lpstr>Materials</vt:lpstr>
      <vt:lpstr>MP Coding</vt:lpstr>
      <vt:lpstr>UCR Segmentation</vt:lpstr>
      <vt:lpstr>QA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Edson</cp:lastModifiedBy>
  <dcterms:created xsi:type="dcterms:W3CDTF">2026-08-10T08:22:57Z</dcterms:created>
  <dcterms:modified xsi:type="dcterms:W3CDTF">2026-08-10T08:23:04Z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E8A2562E3E144A369CC4867206F9A902_12</vt:lpwstr>
  </property>
  <property fmtid="{D5CDD505-2E9C-101B-9397-08002B2CF9AE}" pid="3" name="KSOProductBuildVer">
    <vt:lpwstr>2052-12.1.0.28043</vt:lpwstr>
  </property>
  <property fmtid="{D5CDD505-2E9C-101B-9397-08002B2CF9AE}" pid="4" name="CalculationRule">
    <vt:i4>0</vt:i4>
  </property>
</Properties>
</file>