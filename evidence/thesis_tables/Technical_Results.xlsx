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5c028edcca141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 总览" sheetId="1" r:id="R9e6c690965fc4df6"/>
    <x:sheet xmlns:r="http://schemas.openxmlformats.org/officeDocument/2006/relationships" name="Formal32 正式" sheetId="2" r:id="Rd608cd6b52da4b34"/>
    <x:sheet xmlns:r="http://schemas.openxmlformats.org/officeDocument/2006/relationships" name="AB Review" sheetId="3" r:id="Rcec8167d466b48c5"/>
    <x:sheet xmlns:r="http://schemas.openxmlformats.org/officeDocument/2006/relationships" name="MP_UCR 质量" sheetId="4" r:id="Rbcaa17a9b69b4fa7"/>
    <x:sheet xmlns:r="http://schemas.openxmlformats.org/officeDocument/2006/relationships" name="SLC_RAC" sheetId="5" r:id="Rf7cb332d7e9243f1"/>
    <x:sheet xmlns:r="http://schemas.openxmlformats.org/officeDocument/2006/relationships" name="Files 文件" sheetId="6" r:id="Rcb440357178e4c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0.000"/>
  </x:numFmts>
  <x:fonts count="8">
    <x:font>
      <x:sz val="11"/>
      <x:name val="Carlito"/>
    </x:font>
    <x:font>
      <x:b/>
      <x:sz val="15"/>
      <x:color rgb="FFFFFFFF"/>
      <x:name val="Arial"/>
    </x:font>
    <x:font>
      <x:b/>
      <x:sz val="10"/>
      <x:color rgb="FFFFFFFF"/>
      <x:name val="Arial"/>
    </x:font>
    <x:font>
      <x:sz val="9"/>
      <x:color rgb="FF1F2937"/>
      <x:name val="Arial"/>
    </x:font>
    <x:font>
      <x:b/>
      <x:sz val="11"/>
      <x:color rgb="FF17365D"/>
      <x:name val="Arial"/>
    </x:font>
    <x:font>
      <x:b/>
      <x:sz val="10"/>
      <x:color rgb="FF17365D"/>
      <x:name val="Arial"/>
    </x:font>
    <x:font>
      <x:i/>
      <x:sz val="10"/>
      <x:color rgb="FF17365D"/>
      <x:name val="Arial"/>
    </x:font>
    <x:font>
      <x:b/>
      <x:sz val="10"/>
      <x:color rgb="FF7F1D1D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0F6B73"/>
      </x:patternFill>
    </x:fill>
    <x:fill>
      <x:patternFill patternType="solid">
        <x:fgColor rgb="FFF2F2F2"/>
      </x:patternFill>
    </x:fill>
    <x:fill>
      <x:patternFill patternType="solid">
        <x:fgColor rgb="FFE2F0D9"/>
      </x:patternFill>
    </x:fill>
    <x:fill>
      <x:patternFill patternType="solid">
        <x:fgColor rgb="FFDDEBF7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10">
    <x:border/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</x:border>
    <x:border>
      <x:right style="thin">
        <x:color rgb="FFB7C9D6"/>
      </x:right>
    </x:border>
  </x:borders>
  <x:cellStyleXfs count="1">
    <x:xf numFmtId="0" fontId="0" fillId="0" borderId="0"/>
  </x:cellStyleXfs>
  <x:cellXfs count="7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200" fontId="3" fillId="0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200" fontId="3" fillId="4" borderId="1" xfId="0" applyNumberFormat="1" applyFont="1" applyFill="1" applyBorder="1" applyAlignment="1">
      <x:alignment vertical="top" wrapText="1"/>
    </x:xf>
    <x:xf numFmtId="201" fontId="3" fillId="0" borderId="1" xfId="0" applyNumberFormat="1" applyFont="1" applyFill="1" applyBorder="1" applyAlignment="1">
      <x:alignment vertical="top" wrapText="1"/>
    </x:xf>
    <x:xf numFmtId="0" fontId="3" fillId="5" borderId="1" xfId="0" applyNumberFormat="1" applyFont="1" applyFill="1" applyBorder="1" applyAlignment="1">
      <x:alignment vertical="top" wrapText="1"/>
    </x:xf>
    <x:xf numFmtId="201" fontId="3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202" fontId="3" fillId="0" borderId="1" xfId="0" applyNumberFormat="1" applyFont="1" applyFill="1" applyBorder="1" applyAlignment="1">
      <x:alignment vertical="top" wrapText="1"/>
    </x:xf>
    <x:xf numFmtId="200" fontId="3" fillId="5" borderId="1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2" xfId="0" applyNumberFormat="1" applyFont="1" applyFill="1" applyBorder="1"/>
    <x:xf numFmtId="0" fontId="5" fillId="7" borderId="3" xfId="0" applyNumberFormat="1" applyFont="1" applyFill="1" applyBorder="1"/>
    <x:xf numFmtId="0" fontId="5" fillId="7" borderId="4" xfId="0" applyNumberFormat="1" applyFont="1" applyFill="1" applyBorder="1"/>
    <x:xf numFmtId="0" fontId="5" fillId="7" borderId="5" xfId="0" applyNumberFormat="1" applyFont="1" applyFill="1" applyBorder="1"/>
    <x:xf numFmtId="0" fontId="5" fillId="7" borderId="6" xfId="0" applyNumberFormat="1" applyFont="1" applyFill="1" applyBorder="1"/>
    <x:xf numFmtId="0" fontId="5" fillId="7" borderId="7" xfId="0" applyNumberFormat="1" applyFont="1" applyFill="1" applyBorder="1"/>
    <x:xf numFmtId="0" fontId="5" fillId="7" borderId="2" xfId="0" applyNumberFormat="1" applyFont="1" applyFill="1" applyBorder="1" applyAlignment="1">
      <x:alignment wrapText="1"/>
    </x:xf>
    <x:xf numFmtId="0" fontId="5" fillId="7" borderId="3" xfId="0" applyNumberFormat="1" applyFont="1" applyFill="1" applyBorder="1" applyAlignment="1">
      <x:alignment wrapText="1"/>
    </x:xf>
    <x:xf numFmtId="0" fontId="5" fillId="7" borderId="4" xfId="0" applyNumberFormat="1" applyFont="1" applyFill="1" applyBorder="1" applyAlignment="1">
      <x:alignment wrapText="1"/>
    </x:xf>
    <x:xf numFmtId="0" fontId="5" fillId="7" borderId="5" xfId="0" applyNumberFormat="1" applyFont="1" applyFill="1" applyBorder="1" applyAlignment="1">
      <x:alignment wrapText="1"/>
    </x:xf>
    <x:xf numFmtId="0" fontId="5" fillId="7" borderId="6" xfId="0" applyNumberFormat="1" applyFont="1" applyFill="1" applyBorder="1" applyAlignment="1">
      <x:alignment wrapText="1"/>
    </x:xf>
    <x:xf numFmtId="0" fontId="5" fillId="7" borderId="7" xfId="0" applyNumberFormat="1" applyFont="1" applyFill="1" applyBorder="1" applyAlignment="1">
      <x:alignment wrapText="1"/>
    </x:xf>
    <x:xf numFmtId="0" fontId="5" fillId="7" borderId="2" xfId="0" applyNumberFormat="1" applyFont="1" applyFill="1" applyBorder="1" applyAlignment="1">
      <x:alignment vertical="center" wrapText="1"/>
    </x:xf>
    <x:xf numFmtId="0" fontId="5" fillId="7" borderId="3" xfId="0" applyNumberFormat="1" applyFont="1" applyFill="1" applyBorder="1" applyAlignment="1">
      <x:alignment vertical="center" wrapText="1"/>
    </x:xf>
    <x:xf numFmtId="0" fontId="5" fillId="7" borderId="4" xfId="0" applyNumberFormat="1" applyFont="1" applyFill="1" applyBorder="1" applyAlignment="1">
      <x:alignment vertical="center" wrapText="1"/>
    </x:xf>
    <x:xf numFmtId="0" fontId="5" fillId="7" borderId="5" xfId="0" applyNumberFormat="1" applyFont="1" applyFill="1" applyBorder="1" applyAlignment="1">
      <x:alignment vertical="center" wrapText="1"/>
    </x:xf>
    <x:xf numFmtId="0" fontId="5" fillId="7" borderId="6" xfId="0" applyNumberFormat="1" applyFont="1" applyFill="1" applyBorder="1" applyAlignment="1">
      <x:alignment vertical="center" wrapText="1"/>
    </x:xf>
    <x:xf numFmtId="0" fontId="5" fillId="7" borderId="7" xfId="0" applyNumberFormat="1" applyFont="1" applyFill="1" applyBorder="1" applyAlignment="1">
      <x:alignment vertical="center" wrapText="1"/>
    </x:xf>
    <x:xf numFmtId="0" fontId="3" fillId="7" borderId="1" xfId="0" applyNumberFormat="1" applyFont="1" applyFill="1" applyBorder="1" applyAlignment="1">
      <x:alignment vertical="top" wrapText="1"/>
    </x:xf>
    <x:xf numFmtId="200" fontId="3" fillId="7" borderId="1" xfId="0" applyNumberFormat="1" applyFont="1" applyFill="1" applyBorder="1" applyAlignment="1">
      <x:alignment vertical="top" wrapText="1"/>
    </x:xf>
    <x:xf numFmtId="0" fontId="3" fillId="6" borderId="1" xfId="0" applyNumberFormat="1" applyFont="1" applyFill="1" applyBorder="1" applyAlignment="1">
      <x:alignment vertical="top" wrapText="1"/>
    </x:xf>
    <x:xf numFmtId="200" fontId="3" fillId="6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2" xfId="0" applyNumberFormat="1" applyFont="1" applyFill="1" applyBorder="1"/>
    <x:xf numFmtId="0" fontId="7" fillId="8" borderId="3" xfId="0" applyNumberFormat="1" applyFont="1" applyFill="1" applyBorder="1"/>
    <x:xf numFmtId="0" fontId="7" fillId="8" borderId="4" xfId="0" applyNumberFormat="1" applyFont="1" applyFill="1" applyBorder="1"/>
    <x:xf numFmtId="0" fontId="7" fillId="8" borderId="8" xfId="0" applyNumberFormat="1" applyFont="1" applyFill="1" applyBorder="1"/>
    <x:xf numFmtId="0" fontId="7" fillId="8" borderId="9" xfId="0" applyNumberFormat="1" applyFont="1" applyFill="1" applyBorder="1"/>
    <x:xf numFmtId="0" fontId="7" fillId="8" borderId="5" xfId="0" applyNumberFormat="1" applyFont="1" applyFill="1" applyBorder="1"/>
    <x:xf numFmtId="0" fontId="7" fillId="8" borderId="6" xfId="0" applyNumberFormat="1" applyFont="1" applyFill="1" applyBorder="1"/>
    <x:xf numFmtId="0" fontId="7" fillId="8" borderId="7" xfId="0" applyNumberFormat="1" applyFont="1" applyFill="1" applyBorder="1"/>
    <x:xf numFmtId="0" fontId="7" fillId="8" borderId="2" xfId="0" applyNumberFormat="1" applyFont="1" applyFill="1" applyBorder="1" applyAlignment="1">
      <x:alignment wrapText="1"/>
    </x:xf>
    <x:xf numFmtId="0" fontId="7" fillId="8" borderId="3" xfId="0" applyNumberFormat="1" applyFont="1" applyFill="1" applyBorder="1" applyAlignment="1">
      <x:alignment wrapText="1"/>
    </x:xf>
    <x:xf numFmtId="0" fontId="7" fillId="8" borderId="4" xfId="0" applyNumberFormat="1" applyFont="1" applyFill="1" applyBorder="1" applyAlignment="1">
      <x:alignment wrapText="1"/>
    </x:xf>
    <x:xf numFmtId="0" fontId="7" fillId="8" borderId="8" xfId="0" applyNumberFormat="1" applyFont="1" applyFill="1" applyBorder="1" applyAlignment="1">
      <x:alignment wrapText="1"/>
    </x:xf>
    <x:xf numFmtId="0" fontId="7" fillId="8" borderId="0" xfId="0" applyNumberFormat="1" applyFont="1" applyFill="1" applyBorder="1" applyAlignment="1">
      <x:alignment wrapText="1"/>
    </x:xf>
    <x:xf numFmtId="0" fontId="7" fillId="8" borderId="9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wrapText="1"/>
    </x:xf>
    <x:xf numFmtId="0" fontId="7" fillId="8" borderId="6" xfId="0" applyNumberFormat="1" applyFont="1" applyFill="1" applyBorder="1" applyAlignment="1">
      <x:alignment wrapText="1"/>
    </x:xf>
    <x:xf numFmtId="0" fontId="7" fillId="8" borderId="7" xfId="0" applyNumberFormat="1" applyFont="1" applyFill="1" applyBorder="1" applyAlignment="1">
      <x:alignment wrapText="1"/>
    </x:xf>
    <x:xf numFmtId="0" fontId="7" fillId="8" borderId="2" xfId="0" applyNumberFormat="1" applyFont="1" applyFill="1" applyBorder="1" applyAlignment="1">
      <x:alignment vertical="center" wrapText="1"/>
    </x:xf>
    <x:xf numFmtId="0" fontId="7" fillId="8" borderId="3" xfId="0" applyNumberFormat="1" applyFont="1" applyFill="1" applyBorder="1" applyAlignment="1">
      <x:alignment vertical="center" wrapText="1"/>
    </x:xf>
    <x:xf numFmtId="0" fontId="7" fillId="8" borderId="4" xfId="0" applyNumberFormat="1" applyFont="1" applyFill="1" applyBorder="1" applyAlignment="1">
      <x:alignment vertical="center" wrapText="1"/>
    </x:xf>
    <x:xf numFmtId="0" fontId="7" fillId="8" borderId="8" xfId="0" applyNumberFormat="1" applyFont="1" applyFill="1" applyBorder="1" applyAlignment="1">
      <x:alignment vertical="center" wrapText="1"/>
    </x:xf>
    <x:xf numFmtId="0" fontId="7" fillId="8" borderId="0" xfId="0" applyNumberFormat="1" applyFont="1" applyFill="1" applyBorder="1" applyAlignment="1">
      <x:alignment vertical="center" wrapText="1"/>
    </x:xf>
    <x:xf numFmtId="0" fontId="7" fillId="8" borderId="9" xfId="0" applyNumberFormat="1" applyFont="1" applyFill="1" applyBorder="1" applyAlignment="1">
      <x:alignment vertical="center" wrapText="1"/>
    </x:xf>
    <x:xf numFmtId="0" fontId="7" fillId="8" borderId="5" xfId="0" applyNumberFormat="1" applyFont="1" applyFill="1" applyBorder="1" applyAlignment="1">
      <x:alignment vertical="center" wrapText="1"/>
    </x:xf>
    <x:xf numFmtId="0" fontId="7" fillId="8" borderId="6" xfId="0" applyNumberFormat="1" applyFont="1" applyFill="1" applyBorder="1" applyAlignment="1">
      <x:alignment vertical="center" wrapText="1"/>
    </x:xf>
    <x:xf numFmtId="0" fontId="7" fillId="8" borderId="7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47af2105a724f63" /><Relationship Type="http://schemas.openxmlformats.org/officeDocument/2006/relationships/theme" Target="/xl/theme/theme1.xml" Id="Rae3fc991be5d4c1e" /><Relationship Type="http://schemas.openxmlformats.org/officeDocument/2006/relationships/sharedStrings" Target="/xl/sharedStrings.xml" Id="R3cffa1a41ce04f20" /><Relationship Type="http://schemas.openxmlformats.org/officeDocument/2006/relationships/worksheet" Target="/xl/worksheets/sheet1.xml" Id="R9e6c690965fc4df6" /><Relationship Type="http://schemas.openxmlformats.org/officeDocument/2006/relationships/worksheet" Target="/xl/worksheets/sheet2.xml" Id="Rd608cd6b52da4b34" /><Relationship Type="http://schemas.openxmlformats.org/officeDocument/2006/relationships/worksheet" Target="/xl/worksheets/sheet3.xml" Id="Rcec8167d466b48c5" /><Relationship Type="http://schemas.openxmlformats.org/officeDocument/2006/relationships/worksheet" Target="/xl/worksheets/sheet4.xml" Id="Rbcaa17a9b69b4fa7" /><Relationship Type="http://schemas.openxmlformats.org/officeDocument/2006/relationships/worksheet" Target="/xl/worksheets/sheet5.xml" Id="Rf7cb332d7e9243f1" /><Relationship Type="http://schemas.openxmlformats.org/officeDocument/2006/relationships/worksheet" Target="/xl/worksheets/sheet6.xml" Id="Rcb440357178e4c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2" hidden="0" customWidth="1"/>
    <x:col min="3" max="3" width="22" hidden="0" customWidth="1"/>
    <x:col min="4" max="4" width="18" hidden="0" customWidth="1"/>
    <x:col min="5" max="5" width="28" hidden="0" customWidth="1"/>
    <x:col min="6" max="6" width="52" hidden="0" customWidth="1"/>
  </x:cols>
  <x:sheetData>
    <x:row r="1" ht="18" hidden="0" customHeight="1">
      <x:c r="A1" s="3" t="str">
        <x:v>PurrStone v10.2 R6 — Results summary / 结果总览</x:v>
      </x:c>
      <x:c r="B1" s="3" t="str">
        <x:v>PurrStone v10.2 R6 — Results summary / 结果总览</x:v>
      </x:c>
      <x:c r="C1" s="3" t="str">
        <x:v>PurrStone v10.2 R6 — Results summary / 结果总览</x:v>
      </x:c>
      <x:c r="D1" s="3" t="str">
        <x:v>PurrStone v10.2 R6 — Results summary / 结果总览</x:v>
      </x:c>
      <x:c r="E1" s="3" t="str">
        <x:v>PurrStone v10.2 R6 — Results summary / 结果总览</x:v>
      </x:c>
      <x:c r="F1" s="3" t="str">
        <x:v>PurrStone v10.2 R6 — Results summary / 结果总览</x:v>
      </x:c>
    </x:row>
    <x:row r="2" ht="15" hidden="0" customHeight="1">
      <x:c r="A2" s="49" t="str">
        <x:v>One frozen protocol + scripted inputs | Formal and post-formal scopes kept separate | 2026-08-10</x:v>
      </x:c>
      <x:c r="B2" s="49"/>
      <x:c r="C2" s="49"/>
      <x:c r="D2" s="49"/>
      <x:c r="E2" s="49"/>
      <x:c r="F2" s="49"/>
    </x:row>
    <x:row r="3"/>
    <x:row r="4" ht="15" hidden="0" customHeight="1">
      <x:c r="A4" s="20" t="str">
        <x:v>A. Formal 32 and A/B / 正式运行与盲态评价</x:v>
      </x:c>
      <x:c r="B4" s="20" t="str">
        <x:v>A. Formal 32 and A/B / 正式运行与盲态评价</x:v>
      </x:c>
      <x:c r="C4" s="20" t="str">
        <x:v>A. Formal 32 and A/B / 正式运行与盲态评价</x:v>
      </x:c>
      <x:c r="D4" s="20" t="str">
        <x:v>A. Formal 32 and A/B / 正式运行与盲态评价</x:v>
      </x:c>
      <x:c r="E4" s="20" t="str">
        <x:v>A. Formal 32 and A/B / 正式运行与盲态评价</x:v>
      </x:c>
      <x:c r="F4" s="20" t="str">
        <x:v>A. Formal 32 and A/B / 正式运行与盲态评价</x:v>
      </x:c>
    </x:row>
    <x:row r="5" ht="15" hidden="0" customHeight="1">
      <x:c r="A5" s="8" t="str">
        <x:v>Result</x:v>
      </x:c>
      <x:c r="B5" s="8" t="str">
        <x:v>MVP</x:v>
      </x:c>
      <x:c r="C5" s="8" t="str">
        <x:v>Baseline</x:v>
      </x:c>
      <x:c r="D5" s="8" t="str">
        <x:v>Difference</x:v>
      </x:c>
      <x:c r="E5" s="8" t="str">
        <x:v>Scope</x:v>
      </x:c>
      <x:c r="F5" s="8" t="str">
        <x:v>Interpretation</x:v>
      </x:c>
    </x:row>
    <x:row r="6" ht="15" hidden="0" customHeight="1">
      <x:c r="A6" s="17" t="str">
        <x:v>Completion</x:v>
      </x:c>
      <x:c r="B6" s="17" t="n">
        <x:v>16</x:v>
      </x:c>
      <x:c r="C6" s="17" t="n">
        <x:v>10</x:v>
      </x:c>
      <x:c r="D6" s="17" t="n">
        <x:f>B6-C6</x:f>
        <x:v>6</x:v>
      </x:c>
      <x:c r="E6" s="17" t="str">
        <x:v>16 attempts/condition</x:v>
      </x:c>
      <x:c r="F6" s="17" t="str">
        <x:v>10 complete pairs</x:v>
      </x:c>
    </x:row>
    <x:row r="7" ht="15" hidden="0" customHeight="1">
      <x:c r="A7" s="22" t="str">
        <x:v>AI Action Inspectability</x:v>
      </x:c>
      <x:c r="B7" s="22" t="n">
        <x:v>1</x:v>
      </x:c>
      <x:c r="C7" s="22" t="n">
        <x:v>0.9117647058823529</x:v>
      </x:c>
      <x:c r="D7" s="22" t="n">
        <x:f>B7-C7</x:f>
        <x:v>0.08823529411764708</x:v>
      </x:c>
      <x:c r="E7" s="17" t="str">
        <x:v>Formal 32</x:v>
      </x:c>
      <x:c r="F7" s="17" t="str">
        <x:v>MVP records more complete</x:v>
      </x:c>
    </x:row>
    <x:row r="8" ht="15" hidden="0" customHeight="1">
      <x:c r="A8" s="22" t="str">
        <x:v>AC Action Consistency</x:v>
      </x:c>
      <x:c r="B8" s="22" t="n">
        <x:v>1</x:v>
      </x:c>
      <x:c r="C8" s="22" t="n">
        <x:v>0.8604651162790697</x:v>
      </x:c>
      <x:c r="D8" s="22" t="n">
        <x:f>B8-C8</x:f>
        <x:v>0.13953488372093026</x:v>
      </x:c>
      <x:c r="E8" s="17" t="str">
        <x:v>Formal 32</x:v>
      </x:c>
      <x:c r="F8" s="17" t="str">
        <x:v>MVP closer to frozen oracle</x:v>
      </x:c>
    </x:row>
    <x:row r="9" ht="15" hidden="0" customHeight="1">
      <x:c r="A9" s="22" t="str">
        <x:v>TCR Topic Coverage Representation</x:v>
      </x:c>
      <x:c r="B9" s="22" t="n">
        <x:v>1</x:v>
      </x:c>
      <x:c r="C9" s="22" t="n">
        <x:v>0.625</x:v>
      </x:c>
      <x:c r="D9" s="22" t="n">
        <x:f>B9-C9</x:f>
        <x:v>0.375</x:v>
      </x:c>
      <x:c r="E9" s="17" t="str">
        <x:v>Formal 32</x:v>
      </x:c>
      <x:c r="F9" s="17" t="str">
        <x:v>Baseline failures reduce recorded topics</x:v>
      </x:c>
    </x:row>
    <x:row r="10" ht="15" hidden="0" customHeight="1">
      <x:c r="A10" s="17" t="str">
        <x:v>A/B Q1 Protocol coverage</x:v>
      </x:c>
      <x:c r="B10" s="17" t="n">
        <x:v>4.4</x:v>
      </x:c>
      <x:c r="C10" s="17" t="n">
        <x:v>4.4</x:v>
      </x:c>
      <x:c r="D10" s="17" t="n">
        <x:f>B10-C10</x:f>
        <x:v>0</x:v>
      </x:c>
      <x:c r="E10" s="17" t="str">
        <x:v>20 ratings/condition</x:v>
      </x:c>
      <x:c r="F10" s="17" t="str">
        <x:v>Equal means</x:v>
      </x:c>
    </x:row>
    <x:row r="11" ht="15" hidden="0" customHeight="1">
      <x:c r="A11" s="17" t="str">
        <x:v>A/B Q2 Follow-up quality</x:v>
      </x:c>
      <x:c r="B11" s="17" t="n">
        <x:v>4.5</x:v>
      </x:c>
      <x:c r="C11" s="17" t="n">
        <x:v>5</x:v>
      </x:c>
      <x:c r="D11" s="17" t="n">
        <x:f>B11-C11</x:f>
        <x:v>-0.5</x:v>
      </x:c>
      <x:c r="E11" s="17" t="str">
        <x:v>8 ratings/condition</x:v>
      </x:c>
      <x:c r="F11" s="17" t="str">
        <x:v>Only four applicable pairs</x:v>
      </x:c>
    </x:row>
    <x:row r="12" ht="15" hidden="0" customHeight="1">
      <x:c r="A12" s="17" t="str">
        <x:v>A/B Q4 Participant clarity/control</x:v>
      </x:c>
      <x:c r="B12" s="17" t="n">
        <x:v>5</x:v>
      </x:c>
      <x:c r="C12" s="17" t="n">
        <x:v>4.1</x:v>
      </x:c>
      <x:c r="D12" s="17" t="n">
        <x:f>B12-C12</x:f>
        <x:v>0.9000000000000004</x:v>
      </x:c>
      <x:c r="E12" s="17" t="str">
        <x:v>20 ratings/condition</x:v>
      </x:c>
      <x:c r="F12" s="17" t="str">
        <x:v>MVP higher descriptively</x:v>
      </x:c>
    </x:row>
    <x:row r="13" ht="15" hidden="0" customHeight="1">
      <x:c r="A13" s="17" t="str">
        <x:v>A/B Q5 Researcher reviewability</x:v>
      </x:c>
      <x:c r="B13" s="17" t="n">
        <x:v>5</x:v>
      </x:c>
      <x:c r="C13" s="17" t="n">
        <x:v>4.5</x:v>
      </x:c>
      <x:c r="D13" s="17" t="n">
        <x:f>B13-C13</x:f>
        <x:v>0.5</x:v>
      </x:c>
      <x:c r="E13" s="17" t="str">
        <x:v>20 ratings/condition</x:v>
      </x:c>
      <x:c r="F13" s="17" t="str">
        <x:v>MVP higher descriptively</x:v>
      </x:c>
    </x:row>
    <x:row r="14"/>
    <x:row r="15" ht="15" hidden="0" customHeight="1">
      <x:c r="A15" s="20" t="str">
        <x:v>B. MP/UCR separated by stage / 按阶段分开</x:v>
      </x:c>
      <x:c r="B15" s="20" t="str">
        <x:v>B. MP/UCR separated by stage / 按阶段分开</x:v>
      </x:c>
      <x:c r="C15" s="20" t="str">
        <x:v>B. MP/UCR separated by stage / 按阶段分开</x:v>
      </x:c>
      <x:c r="D15" s="20" t="str">
        <x:v>B. MP/UCR separated by stage / 按阶段分开</x:v>
      </x:c>
      <x:c r="E15" s="20" t="str">
        <x:v>B. MP/UCR separated by stage / 按阶段分开</x:v>
      </x:c>
      <x:c r="F15" s="20" t="str">
        <x:v>B. MP/UCR separated by stage / 按阶段分开</x:v>
      </x:c>
    </x:row>
    <x:row r="16" ht="15" hidden="0" customHeight="1">
      <x:c r="A16" s="8" t="str">
        <x:v>Analysis</x:v>
      </x:c>
      <x:c r="B16" s="8" t="str">
        <x:v>MP</x:v>
      </x:c>
      <x:c r="C16" s="8" t="str">
        <x:v>UCR</x:v>
      </x:c>
      <x:c r="D16" s="8" t="str">
        <x:v>Agreement</x:v>
      </x:c>
      <x:c r="E16" s="8" t="str">
        <x:v>Kappa</x:v>
      </x:c>
      <x:c r="F16" s="8" t="str">
        <x:v>Reporting rule</x:v>
      </x:c>
    </x:row>
    <x:row r="17" ht="15" hidden="0" customHeight="1">
      <x:c r="A17" s="14" t="str">
        <x:v>Earlier MVP-only final-reviewed</x:v>
      </x:c>
      <x:c r="B17" s="14" t="str">
        <x:v>8/9; unique 4/5</x:v>
      </x:c>
      <x:c r="C17" s="14" t="str">
        <x:v>3/46; unique 3/27</x:v>
      </x:c>
      <x:c r="D17" s="14" t="str">
        <x:v>UCR 45/46</x:v>
      </x:c>
      <x:c r="E17" s="14" t="str">
        <x:v>UCR 0.789</x:v>
      </x:c>
      <x:c r="F17" s="14" t="str">
        <x:v>S7/S8 MVP only</x:v>
      </x:c>
    </x:row>
    <x:row r="18" ht="15" hidden="0" customHeight="1">
      <x:c r="A18" s="17" t="str">
        <x:v>Later Baseline pre-review supplement</x:v>
      </x:c>
      <x:c r="B18" s="17" t="str">
        <x:v>45/45; unique 9/9</x:v>
      </x:c>
      <x:c r="C18" s="17" t="str">
        <x:v>0/220; dedup 0/46</x:v>
      </x:c>
      <x:c r="D18" s="17" t="str">
        <x:v>MP 9/9; UCR 46/46</x:v>
      </x:c>
      <x:c r="E18" s="17" t="str">
        <x:v>Not estimable</x:v>
      </x:c>
      <x:c r="F18" s="17" t="str">
        <x:v>MVP counterparts identical; not independent</x:v>
      </x:c>
    </x:row>
    <x:row r="19"/>
    <x:row r="20" ht="15" hidden="0" customHeight="1">
      <x:c r="A20" s="20" t="str">
        <x:v>C. SLC/RAC formal vs diagnostic / 正式与诊断</x:v>
      </x:c>
      <x:c r="B20" s="20" t="str">
        <x:v>C. SLC/RAC formal vs diagnostic / 正式与诊断</x:v>
      </x:c>
      <x:c r="C20" s="20" t="str">
        <x:v>C. SLC/RAC formal vs diagnostic / 正式与诊断</x:v>
      </x:c>
      <x:c r="D20" s="20" t="str">
        <x:v>C. SLC/RAC formal vs diagnostic / 正式与诊断</x:v>
      </x:c>
      <x:c r="E20" s="20" t="str">
        <x:v>C. SLC/RAC formal vs diagnostic / 正式与诊断</x:v>
      </x:c>
      <x:c r="F20" s="20" t="str">
        <x:v>C. SLC/RAC formal vs diagnostic / 正式与诊断</x:v>
      </x:c>
    </x:row>
    <x:row r="21" ht="15" hidden="0" customHeight="1">
      <x:c r="A21" s="8" t="str">
        <x:v>Metric</x:v>
      </x:c>
      <x:c r="B21" s="8" t="str">
        <x:v>Formal MVP</x:v>
      </x:c>
      <x:c r="C21" s="8" t="str">
        <x:v>Formal Baseline</x:v>
      </x:c>
      <x:c r="D21" s="8" t="str">
        <x:v>Later diagnostic</x:v>
      </x:c>
      <x:c r="E21" s="8" t="str">
        <x:v>Status</x:v>
      </x:c>
      <x:c r="F21" s="8" t="str">
        <x:v>Rule</x:v>
      </x:c>
    </x:row>
    <x:row r="22" ht="15" hidden="0" customHeight="1">
      <x:c r="A22" s="43" t="str">
        <x:v>SLC</x:v>
      </x:c>
      <x:c r="B22" s="43" t="str">
        <x:v>9/9</x:v>
      </x:c>
      <x:c r="C22" s="43" t="str">
        <x:v>0/0 INCOMPLETE</x:v>
      </x:c>
      <x:c r="D22" s="43" t="str">
        <x:v>Baseline 9/9; all 10/10</x:v>
      </x:c>
      <x:c r="E22" s="43" t="str">
        <x:v>Separated</x:v>
      </x:c>
      <x:c r="F22" s="43" t="str">
        <x:v>Formal Baseline not evaluable</x:v>
      </x:c>
    </x:row>
    <x:row r="23" ht="21.600000381469727" hidden="0" customHeight="1">
      <x:c r="A23" s="43" t="str">
        <x:v>RAC</x:v>
      </x:c>
      <x:c r="B23" s="43" t="str">
        <x:v>12/26; actions 12/12</x:v>
      </x:c>
      <x:c r="C23" s="43" t="str">
        <x:v>0/10 INCOMPLETE</x:v>
      </x:c>
      <x:c r="D23" s="43" t="str">
        <x:v>Baseline actions 12/12; runs 2/2</x:v>
      </x:c>
      <x:c r="E23" s="43" t="str">
        <x:v>Separated</x:v>
      </x:c>
      <x:c r="F23" s="43" t="str">
        <x:v>Do not replace frozen denominators</x:v>
      </x:c>
    </x:row>
    <x:row r="24"/>
    <x:row r="25" ht="15" hidden="0" customHeight="1">
      <x:c r="A25" s="20" t="str">
        <x:v>D. Claim boundary / 结论边界</x:v>
      </x:c>
      <x:c r="B25" s="20" t="str">
        <x:v>D. Claim boundary / 结论边界</x:v>
      </x:c>
      <x:c r="C25" s="20" t="str">
        <x:v>D. Claim boundary / 结论边界</x:v>
      </x:c>
      <x:c r="D25" s="20" t="str">
        <x:v>D. Claim boundary / 结论边界</x:v>
      </x:c>
      <x:c r="E25" s="20" t="str">
        <x:v>D. Claim boundary / 结论边界</x:v>
      </x:c>
      <x:c r="F25" s="20" t="str">
        <x:v>D. Claim boundary / 结论边界</x:v>
      </x:c>
    </x:row>
    <x:row r="26">
      <x:c r="A26" s="69" t="str">
        <x:v>Supports bounded scripted workflow feasibility and descriptive comparison under one frozen protocol. Does not establish generally better interviews, target-researcher utility/adoption, scalability, production readiness, or commercial-platform superiority.</x:v>
      </x:c>
      <x:c r="B26" s="70"/>
      <x:c r="C26" s="70"/>
      <x:c r="D26" s="70"/>
      <x:c r="E26" s="70"/>
      <x:c r="F26" s="71"/>
    </x:row>
    <x:row r="27">
      <x:c r="A27" s="72"/>
      <x:c r="B27" s="73"/>
      <x:c r="C27" s="73"/>
      <x:c r="D27" s="73"/>
      <x:c r="E27" s="73"/>
      <x:c r="F27" s="74"/>
    </x:row>
    <x:row r="28">
      <x:c r="A28" s="75"/>
      <x:c r="B28" s="76"/>
      <x:c r="C28" s="76"/>
      <x:c r="D28" s="76"/>
      <x:c r="E28" s="76"/>
      <x:c r="F28" s="77"/>
    </x:row>
  </x:sheetData>
  <x:mergeCells>
    <x:mergeCell ref="A1:F1"/>
    <x:mergeCell ref="A2:F2"/>
    <x:mergeCell ref="A4:F4"/>
    <x:mergeCell ref="A15:F15"/>
    <x:mergeCell ref="A20:F20"/>
    <x:mergeCell ref="A25:F25"/>
    <x:mergeCell ref="A26:F28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25" hidden="0" customWidth="1"/>
    <x:col min="3" max="3" width="13" hidden="0" customWidth="1"/>
    <x:col min="4" max="4" width="13" hidden="0" customWidth="1"/>
    <x:col min="5" max="5" width="11" hidden="0" customWidth="1"/>
    <x:col min="6" max="6" width="14" hidden="0" customWidth="1"/>
    <x:col min="7" max="7" width="55" hidden="0" customWidth="1"/>
  </x:cols>
  <x:sheetData>
    <x:row r="1" ht="18" hidden="0" customHeight="1">
      <x:c r="A1" s="3" t="str">
        <x:v>Formal 32 results / 正式运行结果</x:v>
      </x:c>
      <x:c r="B1" s="3" t="str">
        <x:v>Formal 32 results / 正式运行结果</x:v>
      </x:c>
      <x:c r="C1" s="3" t="str">
        <x:v>Formal 32 results / 正式运行结果</x:v>
      </x:c>
      <x:c r="D1" s="3" t="str">
        <x:v>Formal 32 results / 正式运行结果</x:v>
      </x:c>
      <x:c r="E1" s="3" t="str">
        <x:v>Formal 32 results / 正式运行结果</x:v>
      </x:c>
      <x:c r="F1" s="3" t="str">
        <x:v>Formal 32 results / 正式运行结果</x:v>
      </x:c>
      <x:c r="G1" s="3" t="str">
        <x:v>Formal 32 results / 正式运行结果</x:v>
      </x:c>
    </x:row>
    <x:row r="2" ht="15" hidden="0" customHeight="1">
      <x:c r="A2" s="8" t="str">
        <x:v>Metric</x:v>
      </x:c>
      <x:c r="B2" s="8" t="str">
        <x:v>Condition</x:v>
      </x:c>
      <x:c r="C2" s="8" t="str">
        <x:v>Numerator</x:v>
      </x:c>
      <x:c r="D2" s="8" t="str">
        <x:v>Denominator</x:v>
      </x:c>
      <x:c r="E2" s="8" t="str">
        <x:v>Rate</x:v>
      </x:c>
      <x:c r="F2" s="8" t="str">
        <x:v>Status</x:v>
      </x:c>
      <x:c r="G2" s="8" t="str">
        <x:v>Boundary</x:v>
      </x:c>
    </x:row>
    <x:row r="3" ht="15" hidden="0" customHeight="1">
      <x:c r="A3" s="14" t="str">
        <x:v>Completion / 完成率</x:v>
      </x:c>
      <x:c r="B3" s="14" t="str">
        <x:v>MVP</x:v>
      </x:c>
      <x:c r="C3" s="14" t="n">
        <x:v>16</x:v>
      </x:c>
      <x:c r="D3" s="14" t="n">
        <x:v>16</x:v>
      </x:c>
      <x:c r="E3" s="15" t="n">
        <x:f>IF(F3="INCOMPLETE","",IF(D3=0,"",C3/D3))</x:f>
        <x:v>1</x:v>
      </x:c>
      <x:c r="F3" s="14" t="str">
        <x:v>PASS</x:v>
      </x:c>
      <x:c r="G3" s="14" t="str">
        <x:v>All registered MVP runs completed</x:v>
      </x:c>
    </x:row>
    <x:row r="4" ht="15" hidden="0" customHeight="1">
      <x:c r="A4" s="14" t="str">
        <x:v>Completion / 完成率</x:v>
      </x:c>
      <x:c r="B4" s="14" t="str">
        <x:v>Prompt-only Baseline</x:v>
      </x:c>
      <x:c r="C4" s="14" t="n">
        <x:v>10</x:v>
      </x:c>
      <x:c r="D4" s="14" t="n">
        <x:v>16</x:v>
      </x:c>
      <x:c r="E4" s="15" t="n">
        <x:f>IF(F4="INCOMPLETE","",IF(D4=0,"",C4/D4))</x:f>
        <x:v>0.625</x:v>
      </x:c>
      <x:c r="F4" s="14" t="str">
        <x:v>FAIL</x:v>
      </x:c>
      <x:c r="G4" s="14" t="str">
        <x:v>Six failures retained; no retries</x:v>
      </x:c>
    </x:row>
    <x:row r="5" ht="15" hidden="0" customHeight="1">
      <x:c r="A5" s="14" t="str">
        <x:v>AI Action Inspectability</x:v>
      </x:c>
      <x:c r="B5" s="14" t="str">
        <x:v>MVP</x:v>
      </x:c>
      <x:c r="C5" s="14" t="n">
        <x:v>102</x:v>
      </x:c>
      <x:c r="D5" s="14" t="n">
        <x:v>102</x:v>
      </x:c>
      <x:c r="E5" s="15" t="n">
        <x:f>IF(F5="INCOMPLETE","",IF(D5=0,"",C5/D5))</x:f>
        <x:v>1</x:v>
      </x:c>
      <x:c r="F5" s="14" t="str">
        <x:v>PASS</x:v>
      </x:c>
      <x:c r="G5" s="14" t="str">
        <x:v>Frozen Formal 32</x:v>
      </x:c>
    </x:row>
    <x:row r="6" ht="15" hidden="0" customHeight="1">
      <x:c r="A6" s="14" t="str">
        <x:v>AI Action Inspectability</x:v>
      </x:c>
      <x:c r="B6" s="14" t="str">
        <x:v>Prompt-only Baseline</x:v>
      </x:c>
      <x:c r="C6" s="14" t="n">
        <x:v>93</x:v>
      </x:c>
      <x:c r="D6" s="14" t="n">
        <x:v>102</x:v>
      </x:c>
      <x:c r="E6" s="15" t="n">
        <x:f>IF(F6="INCOMPLETE","",IF(D6=0,"",C6/D6))</x:f>
        <x:v>0.9117647058823529</x:v>
      </x:c>
      <x:c r="F6" s="14" t="str">
        <x:v>FAIL</x:v>
      </x:c>
      <x:c r="G6" s="14" t="str">
        <x:v>Frozen Formal 32</x:v>
      </x:c>
    </x:row>
    <x:row r="7" ht="15" hidden="0" customHeight="1">
      <x:c r="A7" s="14" t="str">
        <x:v>AC Action Consistency</x:v>
      </x:c>
      <x:c r="B7" s="14" t="str">
        <x:v>MVP</x:v>
      </x:c>
      <x:c r="C7" s="14" t="n">
        <x:v>86</x:v>
      </x:c>
      <x:c r="D7" s="14" t="n">
        <x:v>86</x:v>
      </x:c>
      <x:c r="E7" s="15" t="n">
        <x:f>IF(F7="INCOMPLETE","",IF(D7=0,"",C7/D7))</x:f>
        <x:v>1</x:v>
      </x:c>
      <x:c r="F7" s="14" t="str">
        <x:v>PASS</x:v>
      </x:c>
      <x:c r="G7" s="14" t="str">
        <x:v>Frozen Formal 32</x:v>
      </x:c>
    </x:row>
    <x:row r="8" ht="15" hidden="0" customHeight="1">
      <x:c r="A8" s="14" t="str">
        <x:v>AC Action Consistency</x:v>
      </x:c>
      <x:c r="B8" s="14" t="str">
        <x:v>Prompt-only Baseline</x:v>
      </x:c>
      <x:c r="C8" s="14" t="n">
        <x:v>74</x:v>
      </x:c>
      <x:c r="D8" s="14" t="n">
        <x:v>86</x:v>
      </x:c>
      <x:c r="E8" s="15" t="n">
        <x:f>IF(F8="INCOMPLETE","",IF(D8=0,"",C8/D8))</x:f>
        <x:v>0.8604651162790697</x:v>
      </x:c>
      <x:c r="F8" s="14" t="str">
        <x:v>FAIL</x:v>
      </x:c>
      <x:c r="G8" s="14" t="str">
        <x:v>Frozen Formal 32</x:v>
      </x:c>
    </x:row>
    <x:row r="9" ht="15" hidden="0" customHeight="1">
      <x:c r="A9" s="14" t="str">
        <x:v>MIV Missing-information Visibility</x:v>
      </x:c>
      <x:c r="B9" s="14" t="str">
        <x:v>MVP</x:v>
      </x:c>
      <x:c r="C9" s="14" t="n">
        <x:v>8</x:v>
      </x:c>
      <x:c r="D9" s="14" t="n">
        <x:v>8</x:v>
      </x:c>
      <x:c r="E9" s="15" t="n">
        <x:f>IF(F9="INCOMPLETE","",IF(D9=0,"",C9/D9))</x:f>
        <x:v>1</x:v>
      </x:c>
      <x:c r="F9" s="14" t="str">
        <x:v>PASS</x:v>
      </x:c>
      <x:c r="G9" s="14" t="str">
        <x:v>Frozen Formal 32</x:v>
      </x:c>
    </x:row>
    <x:row r="10" ht="15" hidden="0" customHeight="1">
      <x:c r="A10" s="14" t="str">
        <x:v>MIV Missing-information Visibility</x:v>
      </x:c>
      <x:c r="B10" s="14" t="str">
        <x:v>Prompt-only Baseline</x:v>
      </x:c>
      <x:c r="C10" s="14" t="n">
        <x:v>7</x:v>
      </x:c>
      <x:c r="D10" s="14" t="n">
        <x:v>8</x:v>
      </x:c>
      <x:c r="E10" s="15" t="n">
        <x:f>IF(F10="INCOMPLETE","",IF(D10=0,"",C10/D10))</x:f>
        <x:v>0.875</x:v>
      </x:c>
      <x:c r="F10" s="14" t="str">
        <x:v>FAIL</x:v>
      </x:c>
      <x:c r="G10" s="14" t="str">
        <x:v>Frozen Formal 32</x:v>
      </x:c>
    </x:row>
    <x:row r="11" ht="15" hidden="0" customHeight="1">
      <x:c r="A11" s="14" t="str">
        <x:v>PCC Participant-control Compliance</x:v>
      </x:c>
      <x:c r="B11" s="14" t="str">
        <x:v>MVP</x:v>
      </x:c>
      <x:c r="C11" s="14" t="n">
        <x:v>2</x:v>
      </x:c>
      <x:c r="D11" s="14" t="n">
        <x:v>2</x:v>
      </x:c>
      <x:c r="E11" s="15" t="n">
        <x:f>IF(F11="INCOMPLETE","",IF(D11=0,"",C11/D11))</x:f>
        <x:v>1</x:v>
      </x:c>
      <x:c r="F11" s="14" t="str">
        <x:v>PASS</x:v>
      </x:c>
      <x:c r="G11" s="14" t="str">
        <x:v>Frozen Formal 32</x:v>
      </x:c>
    </x:row>
    <x:row r="12" ht="15" hidden="0" customHeight="1">
      <x:c r="A12" s="14" t="str">
        <x:v>PCC Participant-control Compliance</x:v>
      </x:c>
      <x:c r="B12" s="14" t="str">
        <x:v>Prompt-only Baseline</x:v>
      </x:c>
      <x:c r="C12" s="14" t="n">
        <x:v>2</x:v>
      </x:c>
      <x:c r="D12" s="14" t="n">
        <x:v>2</x:v>
      </x:c>
      <x:c r="E12" s="15" t="n">
        <x:f>IF(F12="INCOMPLETE","",IF(D12=0,"",C12/D12))</x:f>
        <x:v>1</x:v>
      </x:c>
      <x:c r="F12" s="14" t="str">
        <x:v>PASS</x:v>
      </x:c>
      <x:c r="G12" s="14" t="str">
        <x:v>Frozen Formal 32</x:v>
      </x:c>
    </x:row>
    <x:row r="13" ht="15" hidden="0" customHeight="1">
      <x:c r="A13" s="14" t="str">
        <x:v>TCR Topic Coverage Representation</x:v>
      </x:c>
      <x:c r="B13" s="14" t="str">
        <x:v>MVP</x:v>
      </x:c>
      <x:c r="C13" s="14" t="n">
        <x:v>80</x:v>
      </x:c>
      <x:c r="D13" s="14" t="n">
        <x:v>80</x:v>
      </x:c>
      <x:c r="E13" s="15" t="n">
        <x:f>IF(F13="INCOMPLETE","",IF(D13=0,"",C13/D13))</x:f>
        <x:v>1</x:v>
      </x:c>
      <x:c r="F13" s="14" t="str">
        <x:v>PASS</x:v>
      </x:c>
      <x:c r="G13" s="14" t="str">
        <x:v>Frozen Formal 32</x:v>
      </x:c>
    </x:row>
    <x:row r="14" ht="15" hidden="0" customHeight="1">
      <x:c r="A14" s="14" t="str">
        <x:v>TCR Topic Coverage Representation</x:v>
      </x:c>
      <x:c r="B14" s="14" t="str">
        <x:v>Prompt-only Baseline</x:v>
      </x:c>
      <x:c r="C14" s="14" t="n">
        <x:v>50</x:v>
      </x:c>
      <x:c r="D14" s="14" t="n">
        <x:v>80</x:v>
      </x:c>
      <x:c r="E14" s="15" t="n">
        <x:f>IF(F14="INCOMPLETE","",IF(D14=0,"",C14/D14))</x:f>
        <x:v>0.625</x:v>
      </x:c>
      <x:c r="F14" s="14" t="str">
        <x:v>FAIL</x:v>
      </x:c>
      <x:c r="G14" s="14" t="str">
        <x:v>Failures caused missing topic records</x:v>
      </x:c>
    </x:row>
    <x:row r="15" ht="15" hidden="0" customHeight="1">
      <x:c r="A15" s="14" t="str">
        <x:v>SLC Source-link Coverage</x:v>
      </x:c>
      <x:c r="B15" s="14" t="str">
        <x:v>MVP</x:v>
      </x:c>
      <x:c r="C15" s="14" t="n">
        <x:v>9</x:v>
      </x:c>
      <x:c r="D15" s="14" t="n">
        <x:v>9</x:v>
      </x:c>
      <x:c r="E15" s="15" t="n">
        <x:f>IF(F15="INCOMPLETE","",IF(D15=0,"",C15/D15))</x:f>
        <x:v>1</x:v>
      </x:c>
      <x:c r="F15" s="14" t="str">
        <x:v>PASS</x:v>
      </x:c>
      <x:c r="G15" s="14" t="str">
        <x:v>Formal retained/edited items</x:v>
      </x:c>
    </x:row>
    <x:row r="16" ht="15" hidden="0" customHeight="1">
      <x:c r="A16" s="14" t="str">
        <x:v>SLC Source-link Coverage</x:v>
      </x:c>
      <x:c r="B16" s="14" t="str">
        <x:v>Prompt-only Baseline</x:v>
      </x:c>
      <x:c r="C16" s="14" t="n">
        <x:v>0</x:v>
      </x:c>
      <x:c r="D16" s="14" t="n">
        <x:v>0</x:v>
      </x:c>
      <x:c r="E16" s="15" t="str">
        <x:f>IF(F16="INCOMPLETE","",IF(D16=0,"",C16/D16))</x:f>
      </x:c>
      <x:c r="F16" s="14" t="str">
        <x:v>INCOMPLETE</x:v>
      </x:c>
      <x:c r="G16" s="14" t="str">
        <x:v>No eligible Formal items; not a 0% result</x:v>
      </x:c>
    </x:row>
    <x:row r="17" ht="15" hidden="0" customHeight="1">
      <x:c r="A17" s="14" t="str">
        <x:v>RAC Review Audit Completeness</x:v>
      </x:c>
      <x:c r="B17" s="14" t="str">
        <x:v>MVP</x:v>
      </x:c>
      <x:c r="C17" s="14" t="n">
        <x:v>12</x:v>
      </x:c>
      <x:c r="D17" s="14" t="n">
        <x:v>26</x:v>
      </x:c>
      <x:c r="E17" s="15" t="n">
        <x:f>IF(F17="INCOMPLETE","",IF(D17=0,"",C17/D17))</x:f>
        <x:v>0.46153846153846156</x:v>
      </x:c>
      <x:c r="F17" s="14" t="str">
        <x:v>FAIL</x:v>
      </x:c>
      <x:c r="G17" s="14" t="str">
        <x:v>Frozen implemented denominator; 14 pending placeholders</x:v>
      </x:c>
    </x:row>
    <x:row r="18" ht="15" hidden="0" customHeight="1">
      <x:c r="A18" s="14" t="str">
        <x:v>RAC Review Audit Completeness</x:v>
      </x:c>
      <x:c r="B18" s="14" t="str">
        <x:v>Prompt-only Baseline</x:v>
      </x:c>
      <x:c r="C18" s="14" t="n">
        <x:v>0</x:v>
      </x:c>
      <x:c r="D18" s="14" t="n">
        <x:v>10</x:v>
      </x:c>
      <x:c r="E18" s="15" t="str">
        <x:f>IF(F18="INCOMPLETE","",IF(D18=0,"",C18/D18))</x:f>
      </x:c>
      <x:c r="F18" s="14" t="str">
        <x:v>INCOMPLETE</x:v>
      </x:c>
      <x:c r="G18" s="14" t="str">
        <x:v>Frozen raw result; no completed Formal review actions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8" hidden="0" customWidth="1"/>
  </x:cols>
  <x:sheetData>
    <x:row r="1" ht="18" hidden="0" customHeight="1">
      <x:c r="A1" s="3" t="str">
        <x:v>Blinded A/B review / 盲态A/B评价</x:v>
      </x:c>
      <x:c r="B1" s="3" t="str">
        <x:v>Blinded A/B review / 盲态A/B评价</x:v>
      </x:c>
      <x:c r="C1" s="3" t="str">
        <x:v>Blinded A/B review / 盲态A/B评价</x:v>
      </x:c>
      <x:c r="D1" s="3" t="str">
        <x:v>Blinded A/B review / 盲态A/B评价</x:v>
      </x:c>
      <x:c r="E1" s="3" t="str">
        <x:v>Blinded A/B review / 盲态A/B评价</x:v>
      </x:c>
      <x:c r="F1" s="3" t="str">
        <x:v>Blinded A/B review / 盲态A/B评价</x:v>
      </x:c>
      <x:c r="G1" s="3" t="str">
        <x:v>Blinded A/B review / 盲态A/B评价</x:v>
      </x:c>
    </x:row>
    <x:row r="2" ht="15" hidden="0" customHeight="1">
      <x:c r="A2" s="8" t="str">
        <x:v>Dimension</x:v>
      </x:c>
      <x:c r="B2" s="8" t="str">
        <x:v>MVP n</x:v>
      </x:c>
      <x:c r="C2" s="8" t="str">
        <x:v>MVP mean</x:v>
      </x:c>
      <x:c r="D2" s="8" t="str">
        <x:v>Baseline n</x:v>
      </x:c>
      <x:c r="E2" s="8" t="str">
        <x:v>Baseline mean</x:v>
      </x:c>
      <x:c r="F2" s="8" t="str">
        <x:v>Difference</x:v>
      </x:c>
      <x:c r="G2" s="8" t="str">
        <x:v>Boundary</x:v>
      </x:c>
    </x:row>
    <x:row r="3" ht="15" hidden="0" customHeight="1">
      <x:c r="A3" s="17" t="str">
        <x:v>Q1 Protocol coverage</x:v>
      </x:c>
      <x:c r="B3" s="17" t="n">
        <x:v>20</x:v>
      </x:c>
      <x:c r="C3" s="18" t="n">
        <x:v>4.4</x:v>
      </x:c>
      <x:c r="D3" s="18" t="n">
        <x:v>20</x:v>
      </x:c>
      <x:c r="E3" s="18" t="n">
        <x:v>4.4</x:v>
      </x:c>
      <x:c r="F3" s="18" t="n">
        <x:f>C3-E3</x:f>
        <x:v>0</x:v>
      </x:c>
      <x:c r="G3" s="17" t="str">
        <x:v>Equal means</x:v>
      </x:c>
    </x:row>
    <x:row r="4" ht="15" hidden="0" customHeight="1">
      <x:c r="A4" s="17" t="str">
        <x:v>Q2 Follow-up relevance/neutrality</x:v>
      </x:c>
      <x:c r="B4" s="17" t="n">
        <x:v>8</x:v>
      </x:c>
      <x:c r="C4" s="18" t="n">
        <x:v>4.5</x:v>
      </x:c>
      <x:c r="D4" s="18" t="n">
        <x:v>8</x:v>
      </x:c>
      <x:c r="E4" s="18" t="n">
        <x:v>5</x:v>
      </x:c>
      <x:c r="F4" s="18" t="n">
        <x:f>C4-E4</x:f>
        <x:v>-0.5</x:v>
      </x:c>
      <x:c r="G4" s="17" t="str">
        <x:v>Only four applicable pairs</x:v>
      </x:c>
    </x:row>
    <x:row r="5" ht="15" hidden="0" customHeight="1">
      <x:c r="A5" s="17" t="str">
        <x:v>Q3 Source fidelity</x:v>
      </x:c>
      <x:c r="B5" s="17" t="n">
        <x:v>20</x:v>
      </x:c>
      <x:c r="C5" s="18" t="n">
        <x:v>4.9</x:v>
      </x:c>
      <x:c r="D5" s="18" t="n">
        <x:v>20</x:v>
      </x:c>
      <x:c r="E5" s="18" t="n">
        <x:v>4.9</x:v>
      </x:c>
      <x:c r="F5" s="18" t="n">
        <x:f>C5-E5</x:f>
        <x:v>0</x:v>
      </x:c>
      <x:c r="G5" s="17" t="str">
        <x:v>Equal means</x:v>
      </x:c>
    </x:row>
    <x:row r="6" ht="15" hidden="0" customHeight="1">
      <x:c r="A6" s="17" t="str">
        <x:v>Q4 Participant clarity/control</x:v>
      </x:c>
      <x:c r="B6" s="17" t="n">
        <x:v>20</x:v>
      </x:c>
      <x:c r="C6" s="18" t="n">
        <x:v>5</x:v>
      </x:c>
      <x:c r="D6" s="18" t="n">
        <x:v>20</x:v>
      </x:c>
      <x:c r="E6" s="18" t="n">
        <x:v>4.1</x:v>
      </x:c>
      <x:c r="F6" s="18" t="n">
        <x:f>C6-E6</x:f>
        <x:v>0.9000000000000004</x:v>
      </x:c>
      <x:c r="G6" s="17" t="str">
        <x:v>MVP higher descriptively</x:v>
      </x:c>
    </x:row>
    <x:row r="7" ht="15" hidden="0" customHeight="1">
      <x:c r="A7" s="17" t="str">
        <x:v>Q5 Researcher reviewability</x:v>
      </x:c>
      <x:c r="B7" s="17" t="n">
        <x:v>20</x:v>
      </x:c>
      <x:c r="C7" s="18" t="n">
        <x:v>5</x:v>
      </x:c>
      <x:c r="D7" s="18" t="n">
        <x:v>20</x:v>
      </x:c>
      <x:c r="E7" s="18" t="n">
        <x:v>4.5</x:v>
      </x:c>
      <x:c r="F7" s="18" t="n">
        <x:f>C7-E7</x:f>
        <x:v>0.5</x:v>
      </x:c>
      <x:c r="G7" s="17" t="str">
        <x:v>MVP higher descriptively</x:v>
      </x:c>
    </x:row>
    <x:row r="8"/>
    <x:row r="9" ht="15" hidden="0" customHeight="1">
      <x:c r="A9" s="20" t="str">
        <x:v>Agreement and overall preference / 一致性与总体偏好</x:v>
      </x:c>
      <x:c r="B9" s="20" t="str">
        <x:v>Agreement and overall preference / 一致性与总体偏好</x:v>
      </x:c>
      <x:c r="C9" s="20" t="str">
        <x:v>Agreement and overall preference / 一致性与总体偏好</x:v>
      </x:c>
      <x:c r="D9" s="20" t="str">
        <x:v>Agreement and overall preference / 一致性与总体偏好</x:v>
      </x:c>
      <x:c r="E9" s="20" t="str">
        <x:v>Agreement and overall preference / 一致性与总体偏好</x:v>
      </x:c>
      <x:c r="F9" s="20" t="str">
        <x:v>Agreement and overall preference / 一致性与总体偏好</x:v>
      </x:c>
      <x:c r="G9" s="20" t="str">
        <x:v>Agreement and overall preference / 一致性与总体偏好</x:v>
      </x:c>
    </x:row>
    <x:row r="10" ht="15" hidden="0" customHeight="1">
      <x:c r="A10" s="8" t="str">
        <x:v>Measure</x:v>
      </x:c>
      <x:c r="B10" s="8" t="str">
        <x:v>Numerator</x:v>
      </x:c>
      <x:c r="C10" s="8" t="str">
        <x:v>Denominator</x:v>
      </x:c>
      <x:c r="D10" s="8" t="str">
        <x:v>Rate</x:v>
      </x:c>
      <x:c r="E10" s="8" t="str">
        <x:v>Kappa</x:v>
      </x:c>
      <x:c r="F10" s="8" t="str">
        <x:v>Result</x:v>
      </x:c>
      <x:c r="G10" s="8" t="str">
        <x:v>Boundary</x:v>
      </x:c>
    </x:row>
    <x:row r="11" ht="15" hidden="0" customHeight="1">
      <x:c r="A11" s="12" t="str">
        <x:v>Exact rating agreement</x:v>
      </x:c>
      <x:c r="B11" s="12" t="n">
        <x:v>84</x:v>
      </x:c>
      <x:c r="C11" s="12" t="n">
        <x:v>88</x:v>
      </x:c>
      <x:c r="D11" s="13" t="n">
        <x:f>B11/C11</x:f>
        <x:v>0.9545454545454546</x:v>
      </x:c>
      <x:c r="E11" s="21" t="str">
        <x:v>—</x:v>
      </x:c>
      <x:c r="F11" s="12" t="str">
        <x:v>84/88</x:v>
      </x:c>
      <x:c r="G11" s="12" t="str">
        <x:v>Across 88 applicable rating cells</x:v>
      </x:c>
    </x:row>
    <x:row r="12" ht="15" hidden="0" customHeight="1">
      <x:c r="A12" s="12" t="str">
        <x:v>Within one point</x:v>
      </x:c>
      <x:c r="B12" s="12" t="n">
        <x:v>88</x:v>
      </x:c>
      <x:c r="C12" s="12" t="n">
        <x:v>88</x:v>
      </x:c>
      <x:c r="D12" s="13" t="n">
        <x:f>B12/C12</x:f>
        <x:v>1</x:v>
      </x:c>
      <x:c r="E12" s="21" t="str">
        <x:v>—</x:v>
      </x:c>
      <x:c r="F12" s="12" t="str">
        <x:v>88/88</x:v>
      </x:c>
      <x:c r="G12" s="12" t="str">
        <x:v>Across all applicable rating cells</x:v>
      </x:c>
    </x:row>
    <x:row r="13" ht="15" hidden="0" customHeight="1">
      <x:c r="A13" s="12" t="str">
        <x:v>Overall preference exact agreement</x:v>
      </x:c>
      <x:c r="B13" s="12" t="n">
        <x:v>8</x:v>
      </x:c>
      <x:c r="C13" s="12" t="n">
        <x:v>10</x:v>
      </x:c>
      <x:c r="D13" s="13" t="n">
        <x:f>B13/C13</x:f>
        <x:v>0.8</x:v>
      </x:c>
      <x:c r="E13" s="21" t="n">
        <x:v>0.6875</x:v>
      </x:c>
      <x:c r="F13" s="12" t="str">
        <x:v>8/10</x:v>
      </x:c>
      <x:c r="G13" s="12" t="str">
        <x:v>Blind A/B/Tie kappa; condition-label sensitivity kappa=0.643</x:v>
      </x:c>
    </x:row>
    <x:row r="14" ht="15" hidden="0" customHeight="1">
      <x:c r="A14" s="12" t="str">
        <x:v>Unanimous MVP</x:v>
      </x:c>
      <x:c r="B14" s="12" t="n">
        <x:v>6</x:v>
      </x:c>
      <x:c r="C14" s="12" t="n">
        <x:v>10</x:v>
      </x:c>
      <x:c r="D14" s="13" t="n">
        <x:f>B14/C14</x:f>
        <x:v>0.6</x:v>
      </x:c>
      <x:c r="E14" s="21" t="str">
        <x:v>—</x:v>
      </x:c>
      <x:c r="F14" s="12" t="str">
        <x:v>6 pairs</x:v>
      </x:c>
      <x:c r="G14" s="12" t="str"/>
    </x:row>
    <x:row r="15" ht="15" hidden="0" customHeight="1">
      <x:c r="A15" s="12" t="str">
        <x:v>Unanimous Tie</x:v>
      </x:c>
      <x:c r="B15" s="12" t="n">
        <x:v>2</x:v>
      </x:c>
      <x:c r="C15" s="12" t="n">
        <x:v>10</x:v>
      </x:c>
      <x:c r="D15" s="13" t="n">
        <x:f>B15/C15</x:f>
        <x:v>0.2</x:v>
      </x:c>
      <x:c r="E15" s="21" t="str">
        <x:v>—</x:v>
      </x:c>
      <x:c r="F15" s="12" t="str">
        <x:v>2 pairs</x:v>
      </x:c>
      <x:c r="G15" s="12" t="str"/>
    </x:row>
    <x:row r="16" ht="15" hidden="0" customHeight="1">
      <x:c r="A16" s="12" t="str">
        <x:v>Baseline vs Tie disagreement</x:v>
      </x:c>
      <x:c r="B16" s="12" t="n">
        <x:v>2</x:v>
      </x:c>
      <x:c r="C16" s="12" t="n">
        <x:v>10</x:v>
      </x:c>
      <x:c r="D16" s="13" t="n">
        <x:f>B16/C16</x:f>
        <x:v>0.2</x:v>
      </x:c>
      <x:c r="E16" s="21" t="str">
        <x:v>—</x:v>
      </x:c>
      <x:c r="F16" s="12" t="str">
        <x:v>2 pairs</x:v>
      </x:c>
      <x:c r="G16" s="12" t="str">
        <x:v>No unanimous Baseline pair</x:v>
      </x:c>
    </x:row>
  </x:sheetData>
  <x:mergeCells>
    <x:mergeCell ref="A1:G1"/>
    <x:mergeCell ref="A9:G9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34" hidden="0" customWidth="1"/>
    <x:col min="3" max="3" width="13" hidden="0" customWidth="1"/>
    <x:col min="4" max="4" width="13" hidden="0" customWidth="1"/>
    <x:col min="5" max="5" width="11" hidden="0" customWidth="1"/>
    <x:col min="6" max="6" width="18" hidden="0" customWidth="1"/>
    <x:col min="7" max="7" width="18" hidden="0" customWidth="1"/>
    <x:col min="8" max="8" width="52" hidden="0" customWidth="1"/>
  </x:cols>
  <x:sheetData>
    <x:row r="1" ht="18" hidden="0" customHeight="1">
      <x:c r="A1" s="3" t="str">
        <x:v>MP/UCR scopes kept separate / MP与UCR分范围报告</x:v>
      </x:c>
      <x:c r="B1" s="3" t="str">
        <x:v>MP/UCR scopes kept separate / MP与UCR分范围报告</x:v>
      </x:c>
      <x:c r="C1" s="3" t="str">
        <x:v>MP/UCR scopes kept separate / MP与UCR分范围报告</x:v>
      </x:c>
      <x:c r="D1" s="3" t="str">
        <x:v>MP/UCR scopes kept separate / MP与UCR分范围报告</x:v>
      </x:c>
      <x:c r="E1" s="3" t="str">
        <x:v>MP/UCR scopes kept separate / MP与UCR分范围报告</x:v>
      </x:c>
      <x:c r="F1" s="3" t="str">
        <x:v>MP/UCR scopes kept separate / MP与UCR分范围报告</x:v>
      </x:c>
      <x:c r="G1" s="3" t="str">
        <x:v>MP/UCR scopes kept separate / MP与UCR分范围报告</x:v>
      </x:c>
      <x:c r="H1" s="3" t="str">
        <x:v>MP/UCR scopes kept separate / MP与UCR分范围报告</x:v>
      </x:c>
    </x:row>
    <x:row r="2" ht="15" hidden="0" customHeight="1">
      <x:c r="A2" s="8" t="str">
        <x:v>Analysis scope</x:v>
      </x:c>
      <x:c r="B2" s="8" t="str">
        <x:v>Measure</x:v>
      </x:c>
      <x:c r="C2" s="8" t="str">
        <x:v>Numerator</x:v>
      </x:c>
      <x:c r="D2" s="8" t="str">
        <x:v>Denominator</x:v>
      </x:c>
      <x:c r="E2" s="8" t="str">
        <x:v>Rate</x:v>
      </x:c>
      <x:c r="F2" s="8" t="str">
        <x:v>Agreement</x:v>
      </x:c>
      <x:c r="G2" s="8" t="str">
        <x:v>Cohen kappa</x:v>
      </x:c>
      <x:c r="H2" s="8" t="str">
        <x:v>Boundary</x:v>
      </x:c>
    </x:row>
    <x:row r="3" ht="15" hidden="0" customHeight="1">
      <x:c r="A3" s="14" t="str">
        <x:v>Earlier MVP-only final-reviewed</x:v>
      </x:c>
      <x:c r="B3" s="14" t="str">
        <x:v>MP preserved — nominal</x:v>
      </x:c>
      <x:c r="C3" s="14" t="n">
        <x:v>8</x:v>
      </x:c>
      <x:c r="D3" s="14" t="n">
        <x:v>9</x:v>
      </x:c>
      <x:c r="E3" s="15" t="n">
        <x:f>IF(D3=0,"",C3/D3)</x:f>
        <x:v>0.8888888888888888</x:v>
      </x:c>
      <x:c r="F3" s="14" t="str">
        <x:v>9/9 exact</x:v>
      </x:c>
      <x:c r="G3" s="14" t="str">
        <x:v>Not reported</x:v>
      </x:c>
      <x:c r="H3" s="14" t="str">
        <x:v>S7/S8 final-reviewed MVP evidence</x:v>
      </x:c>
    </x:row>
    <x:row r="4" ht="15" hidden="0" customHeight="1">
      <x:c r="A4" s="14" t="str">
        <x:v>Earlier MVP-only final-reviewed</x:v>
      </x:c>
      <x:c r="B4" s="14" t="str">
        <x:v>MP preserved — unique bundles</x:v>
      </x:c>
      <x:c r="C4" s="14" t="n">
        <x:v>4</x:v>
      </x:c>
      <x:c r="D4" s="14" t="n">
        <x:v>5</x:v>
      </x:c>
      <x:c r="E4" s="15" t="n">
        <x:f>IF(D4=0,"",C4/D4)</x:f>
        <x:v>0.8</x:v>
      </x:c>
      <x:c r="F4" s="14" t="str">
        <x:v>Sensitivity</x:v>
      </x:c>
      <x:c r="G4" s="14" t="str">
        <x:v>Not reported</x:v>
      </x:c>
      <x:c r="H4" s="14" t="str">
        <x:v>Five unique draft-source bundles</x:v>
      </x:c>
    </x:row>
    <x:row r="5" ht="15" hidden="0" customHeight="1">
      <x:c r="A5" s="14" t="str">
        <x:v>Earlier MVP-only final-reviewed</x:v>
      </x:c>
      <x:c r="B5" s="14" t="str">
        <x:v>UCR unsupported — resolved</x:v>
      </x:c>
      <x:c r="C5" s="14" t="n">
        <x:v>3</x:v>
      </x:c>
      <x:c r="D5" s="14" t="n">
        <x:v>46</x:v>
      </x:c>
      <x:c r="E5" s="15" t="n">
        <x:f>IF(D5=0,"",C5/D5)</x:f>
        <x:v>0.06521739130434782</x:v>
      </x:c>
      <x:c r="F5" s="14" t="str">
        <x:v>45/46 independent</x:v>
      </x:c>
      <x:c r="G5" s="14" t="str">
        <x:v>0.789</x:v>
      </x:c>
      <x:c r="H5" s="14" t="str">
        <x:v>Resolved after one disagreement</x:v>
      </x:c>
    </x:row>
    <x:row r="6" ht="15" hidden="0" customHeight="1">
      <x:c r="A6" s="14" t="str">
        <x:v>Earlier MVP-only final-reviewed</x:v>
      </x:c>
      <x:c r="B6" s="14" t="str">
        <x:v>UCR unsupported — unique text</x:v>
      </x:c>
      <x:c r="C6" s="14" t="n">
        <x:v>3</x:v>
      </x:c>
      <x:c r="D6" s="14" t="n">
        <x:v>27</x:v>
      </x:c>
      <x:c r="E6" s="15" t="n">
        <x:f>IF(D6=0,"",C6/D6)</x:f>
        <x:v>0.1111111111111111</x:v>
      </x:c>
      <x:c r="F6" s="14" t="str">
        <x:v>Sensitivity</x:v>
      </x:c>
      <x:c r="G6" s="14" t="str">
        <x:v>—</x:v>
      </x:c>
      <x:c r="H6" s="14" t="str">
        <x:v>Duplication sensitivity</x:v>
      </x:c>
    </x:row>
    <x:row r="7" ht="15" hidden="0" customHeight="1">
      <x:c r="A7" s="17" t="str">
        <x:v>Later Baseline supplement — pre-review</x:v>
      </x:c>
      <x:c r="B7" s="17" t="str">
        <x:v>MP preserved — nominal</x:v>
      </x:c>
      <x:c r="C7" s="17" t="n">
        <x:v>45</x:v>
      </x:c>
      <x:c r="D7" s="17" t="n">
        <x:v>45</x:v>
      </x:c>
      <x:c r="E7" s="22" t="n">
        <x:f>IF(D7=0,"",C7/D7)</x:f>
        <x:v>1</x:v>
      </x:c>
      <x:c r="F7" s="17" t="str">
        <x:v>9/9 exact</x:v>
      </x:c>
      <x:c r="G7" s="17" t="str">
        <x:v>N/E</x:v>
      </x:c>
      <x:c r="H7" s="17" t="str">
        <x:v>Mapped from nine unique blind bundles</x:v>
      </x:c>
    </x:row>
    <x:row r="8" ht="15" hidden="0" customHeight="1">
      <x:c r="A8" s="17" t="str">
        <x:v>Later Baseline supplement — pre-review</x:v>
      </x:c>
      <x:c r="B8" s="17" t="str">
        <x:v>MP preserved — unique bundles</x:v>
      </x:c>
      <x:c r="C8" s="17" t="n">
        <x:v>9</x:v>
      </x:c>
      <x:c r="D8" s="17" t="n">
        <x:v>9</x:v>
      </x:c>
      <x:c r="E8" s="22" t="n">
        <x:f>IF(D8=0,"",C8/D8)</x:f>
        <x:v>1</x:v>
      </x:c>
      <x:c r="F8" s="17" t="str">
        <x:v>9/9 exact</x:v>
      </x:c>
      <x:c r="G8" s="17" t="str">
        <x:v>N/E</x:v>
      </x:c>
      <x:c r="H8" s="17" t="str">
        <x:v>Both coders used only Preserved</x:v>
      </x:c>
    </x:row>
    <x:row r="9" ht="15" hidden="0" customHeight="1">
      <x:c r="A9" s="17" t="str">
        <x:v>Later Baseline supplement — pre-review</x:v>
      </x:c>
      <x:c r="B9" s="17" t="str">
        <x:v>UCR unsupported — nominal</x:v>
      </x:c>
      <x:c r="C9" s="17" t="n">
        <x:v>0</x:v>
      </x:c>
      <x:c r="D9" s="17" t="n">
        <x:v>220</x:v>
      </x:c>
      <x:c r="E9" s="22" t="n">
        <x:f>IF(D9=0,"",C9/D9)</x:f>
        <x:v>0</x:v>
      </x:c>
      <x:c r="F9" s="17" t="str">
        <x:v>46/46 exact</x:v>
      </x:c>
      <x:c r="G9" s="17" t="str">
        <x:v>N/E</x:v>
      </x:c>
      <x:c r="H9" s="17" t="str">
        <x:v>Mapped from 46 frozen propositions</x:v>
      </x:c>
    </x:row>
    <x:row r="10" ht="15" hidden="0" customHeight="1">
      <x:c r="A10" s="17" t="str">
        <x:v>Later Baseline supplement — pre-review</x:v>
      </x:c>
      <x:c r="B10" s="17" t="str">
        <x:v>UCR unsupported — deduplicated</x:v>
      </x:c>
      <x:c r="C10" s="17" t="n">
        <x:v>0</x:v>
      </x:c>
      <x:c r="D10" s="17" t="n">
        <x:v>46</x:v>
      </x:c>
      <x:c r="E10" s="22" t="n">
        <x:f>IF(D10=0,"",C10/D10)</x:f>
        <x:v>0</x:v>
      </x:c>
      <x:c r="F10" s="17" t="str">
        <x:v>46/46 exact</x:v>
      </x:c>
      <x:c r="G10" s="17" t="str">
        <x:v>N/E</x:v>
      </x:c>
      <x:c r="H10" s="17" t="str">
        <x:v>Both coders used only Supported</x:v>
      </x:c>
    </x:row>
    <x:row r="11"/>
    <x:row r="12">
      <x:c r="A12" s="37" t="str">
        <x:v>Disclosure / 披露：The later analysis was conducted primarily to fill the Baseline gap. All 45 MVP counterpart draft-source combinations were text-identical, so the same labels map to MVP 45/45 MP and 0/220 UCR; this was not a separate independent MVP evaluation. Do not pool or directly compare the two stages.</x:v>
      </x:c>
      <x:c r="B12" s="38"/>
      <x:c r="C12" s="38"/>
      <x:c r="D12" s="38"/>
      <x:c r="E12" s="38"/>
      <x:c r="F12" s="38"/>
      <x:c r="G12" s="38"/>
      <x:c r="H12" s="39"/>
    </x:row>
    <x:row r="13">
      <x:c r="A13" s="40"/>
      <x:c r="B13" s="41"/>
      <x:c r="C13" s="41"/>
      <x:c r="D13" s="41"/>
      <x:c r="E13" s="41"/>
      <x:c r="F13" s="41"/>
      <x:c r="G13" s="41"/>
      <x:c r="H13" s="42"/>
    </x:row>
  </x:sheetData>
  <x:mergeCells>
    <x:mergeCell ref="A1:H1"/>
    <x:mergeCell ref="A12:H1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33" hidden="0" customWidth="1"/>
    <x:col min="4" max="4" width="13" hidden="0" customWidth="1"/>
    <x:col min="5" max="5" width="13" hidden="0" customWidth="1"/>
    <x:col min="6" max="6" width="11" hidden="0" customWidth="1"/>
    <x:col min="7" max="7" width="16" hidden="0" customWidth="1"/>
    <x:col min="8" max="8" width="56" hidden="0" customWidth="1"/>
  </x:cols>
  <x:sheetData>
    <x:row r="1" ht="18" hidden="0" customHeight="1">
      <x:c r="A1" s="3" t="str">
        <x:v>SLC/RAC formal and diagnostic scopes / 正式与诊断口径</x:v>
      </x:c>
      <x:c r="B1" s="3" t="str">
        <x:v>SLC/RAC formal and diagnostic scopes / 正式与诊断口径</x:v>
      </x:c>
      <x:c r="C1" s="3" t="str">
        <x:v>SLC/RAC formal and diagnostic scopes / 正式与诊断口径</x:v>
      </x:c>
      <x:c r="D1" s="3" t="str">
        <x:v>SLC/RAC formal and diagnostic scopes / 正式与诊断口径</x:v>
      </x:c>
      <x:c r="E1" s="3" t="str">
        <x:v>SLC/RAC formal and diagnostic scopes / 正式与诊断口径</x:v>
      </x:c>
      <x:c r="F1" s="3" t="str">
        <x:v>SLC/RAC formal and diagnostic scopes / 正式与诊断口径</x:v>
      </x:c>
      <x:c r="G1" s="3" t="str">
        <x:v>SLC/RAC formal and diagnostic scopes / 正式与诊断口径</x:v>
      </x:c>
      <x:c r="H1" s="3" t="str">
        <x:v>SLC/RAC formal and diagnostic scopes / 正式与诊断口径</x:v>
      </x:c>
    </x:row>
    <x:row r="2" ht="15" hidden="0" customHeight="1">
      <x:c r="A2" s="8" t="str">
        <x:v>Stage</x:v>
      </x:c>
      <x:c r="B2" s="8" t="str">
        <x:v>Condition</x:v>
      </x:c>
      <x:c r="C2" s="8" t="str">
        <x:v>Metric</x:v>
      </x:c>
      <x:c r="D2" s="8" t="str">
        <x:v>Numerator</x:v>
      </x:c>
      <x:c r="E2" s="8" t="str">
        <x:v>Denominator</x:v>
      </x:c>
      <x:c r="F2" s="8" t="str">
        <x:v>Rate</x:v>
      </x:c>
      <x:c r="G2" s="8" t="str">
        <x:v>Status</x:v>
      </x:c>
      <x:c r="H2" s="8" t="str">
        <x:v>Boundary</x:v>
      </x:c>
    </x:row>
    <x:row r="3" ht="15" hidden="0" customHeight="1">
      <x:c r="A3" s="43" t="str">
        <x:v>Formal 32</x:v>
      </x:c>
      <x:c r="B3" s="43" t="str">
        <x:v>MVP</x:v>
      </x:c>
      <x:c r="C3" s="43" t="str">
        <x:v>SLC retained/edited</x:v>
      </x:c>
      <x:c r="D3" s="43" t="n">
        <x:v>9</x:v>
      </x:c>
      <x:c r="E3" s="43" t="n">
        <x:v>9</x:v>
      </x:c>
      <x:c r="F3" s="44" t="n">
        <x:f>IF(G3="INCOMPLETE","",IF(E3=0,"",D3/E3))</x:f>
        <x:v>1</x:v>
      </x:c>
      <x:c r="G3" s="43" t="str">
        <x:v>PASS</x:v>
      </x:c>
      <x:c r="H3" s="43" t="str">
        <x:v>Frozen Formal result</x:v>
      </x:c>
    </x:row>
    <x:row r="4" ht="15" hidden="0" customHeight="1">
      <x:c r="A4" s="43" t="str">
        <x:v>Formal 32</x:v>
      </x:c>
      <x:c r="B4" s="43" t="str">
        <x:v>Baseline</x:v>
      </x:c>
      <x:c r="C4" s="43" t="str">
        <x:v>SLC</x:v>
      </x:c>
      <x:c r="D4" s="43" t="n">
        <x:v>0</x:v>
      </x:c>
      <x:c r="E4" s="43" t="n">
        <x:v>0</x:v>
      </x:c>
      <x:c r="F4" s="44" t="str">
        <x:f>IF(G4="INCOMPLETE","",IF(E4=0,"",D4/E4))</x:f>
      </x:c>
      <x:c r="G4" s="43" t="str">
        <x:v>INCOMPLETE</x:v>
      </x:c>
      <x:c r="H4" s="43" t="str">
        <x:v>No eligible S7/S8 items; not a 0% result</x:v>
      </x:c>
    </x:row>
    <x:row r="5" ht="15" hidden="0" customHeight="1">
      <x:c r="A5" s="45" t="str">
        <x:v>Post-formal diagnostic</x:v>
      </x:c>
      <x:c r="B5" s="45" t="str">
        <x:v>Baseline S7/S8</x:v>
      </x:c>
      <x:c r="C5" s="45" t="str">
        <x:v>SLC retained/edited</x:v>
      </x:c>
      <x:c r="D5" s="45" t="n">
        <x:v>9</x:v>
      </x:c>
      <x:c r="E5" s="45" t="n">
        <x:v>9</x:v>
      </x:c>
      <x:c r="F5" s="46" t="n">
        <x:f>IF(G5="INCOMPLETE","",IF(E5=0,"",D5/E5))</x:f>
        <x:v>1</x:v>
      </x:c>
      <x:c r="G5" s="45" t="str">
        <x:v>PASS</x:v>
      </x:c>
      <x:c r="H5" s="45" t="str">
        <x:v>Deterministic dry-run only</x:v>
      </x:c>
    </x:row>
    <x:row r="6" ht="15" hidden="0" customHeight="1">
      <x:c r="A6" s="45" t="str">
        <x:v>Post-formal diagnostic</x:v>
      </x:c>
      <x:c r="B6" s="45" t="str">
        <x:v>Baseline S7/S8</x:v>
      </x:c>
      <x:c r="C6" s="45" t="str">
        <x:v>All candidate source checks</x:v>
      </x:c>
      <x:c r="D6" s="45" t="n">
        <x:v>10</x:v>
      </x:c>
      <x:c r="E6" s="45" t="n">
        <x:v>10</x:v>
      </x:c>
      <x:c r="F6" s="46" t="n">
        <x:f>IF(G6="INCOMPLETE","",IF(E6=0,"",D6/E6))</x:f>
        <x:v>1</x:v>
      </x:c>
      <x:c r="G6" s="45" t="str">
        <x:v>PASS</x:v>
      </x:c>
      <x:c r="H6" s="45" t="str">
        <x:v>Includes one later-excluded item</x:v>
      </x:c>
    </x:row>
    <x:row r="7" ht="15" hidden="0" customHeight="1">
      <x:c r="A7" s="43" t="str">
        <x:v>Formal 32</x:v>
      </x:c>
      <x:c r="B7" s="43" t="str">
        <x:v>MVP</x:v>
      </x:c>
      <x:c r="C7" s="43" t="str">
        <x:v>RAC frozen denominator</x:v>
      </x:c>
      <x:c r="D7" s="43" t="n">
        <x:v>12</x:v>
      </x:c>
      <x:c r="E7" s="43" t="n">
        <x:v>26</x:v>
      </x:c>
      <x:c r="F7" s="44" t="n">
        <x:f>IF(G7="INCOMPLETE","",IF(E7=0,"",D7/E7))</x:f>
        <x:v>0.46153846153846156</x:v>
      </x:c>
      <x:c r="G7" s="43" t="str">
        <x:v>FAIL</x:v>
      </x:c>
      <x:c r="H7" s="43" t="str">
        <x:v>Includes 14 pending placeholders</x:v>
      </x:c>
    </x:row>
    <x:row r="8" ht="15" hidden="0" customHeight="1">
      <x:c r="A8" s="43" t="str">
        <x:v>Formal diagnostic</x:v>
      </x:c>
      <x:c r="B8" s="43" t="str">
        <x:v>MVP</x:v>
      </x:c>
      <x:c r="C8" s="43" t="str">
        <x:v>RAC executed actions</x:v>
      </x:c>
      <x:c r="D8" s="43" t="n">
        <x:v>12</x:v>
      </x:c>
      <x:c r="E8" s="43" t="n">
        <x:v>12</x:v>
      </x:c>
      <x:c r="F8" s="44" t="n">
        <x:f>IF(G8="INCOMPLETE","",IF(E8=0,"",D8/E8))</x:f>
        <x:v>1</x:v>
      </x:c>
      <x:c r="G8" s="43" t="str">
        <x:v>PASS</x:v>
      </x:c>
      <x:c r="H8" s="43" t="str">
        <x:v>Explains executed actions; does not replace 12/26</x:v>
      </x:c>
    </x:row>
    <x:row r="9" ht="15" hidden="0" customHeight="1">
      <x:c r="A9" s="43" t="str">
        <x:v>Formal 32</x:v>
      </x:c>
      <x:c r="B9" s="43" t="str">
        <x:v>Baseline</x:v>
      </x:c>
      <x:c r="C9" s="43" t="str">
        <x:v>RAC frozen denominator</x:v>
      </x:c>
      <x:c r="D9" s="43" t="n">
        <x:v>0</x:v>
      </x:c>
      <x:c r="E9" s="43" t="n">
        <x:v>10</x:v>
      </x:c>
      <x:c r="F9" s="44" t="str">
        <x:f>IF(G9="INCOMPLETE","",IF(E9=0,"",D9/E9))</x:f>
      </x:c>
      <x:c r="G9" s="43" t="str">
        <x:v>INCOMPLETE</x:v>
      </x:c>
      <x:c r="H9" s="43" t="str">
        <x:v>Frozen raw value; no completed review actions</x:v>
      </x:c>
    </x:row>
    <x:row r="10" ht="15" hidden="0" customHeight="1">
      <x:c r="A10" s="45" t="str">
        <x:v>Post-formal diagnostic</x:v>
      </x:c>
      <x:c r="B10" s="45" t="str">
        <x:v>Baseline S7/S8</x:v>
      </x:c>
      <x:c r="C10" s="45" t="str">
        <x:v>RAC executed actions</x:v>
      </x:c>
      <x:c r="D10" s="45" t="n">
        <x:v>12</x:v>
      </x:c>
      <x:c r="E10" s="45" t="n">
        <x:v>12</x:v>
      </x:c>
      <x:c r="F10" s="46" t="n">
        <x:f>IF(G10="INCOMPLETE","",IF(E10=0,"",D10/E10))</x:f>
        <x:v>1</x:v>
      </x:c>
      <x:c r="G10" s="45" t="str">
        <x:v>PASS</x:v>
      </x:c>
      <x:c r="H10" s="45" t="str">
        <x:v>10 item actions + 2 overall decisions</x:v>
      </x:c>
    </x:row>
    <x:row r="11" ht="15" hidden="0" customHeight="1">
      <x:c r="A11" s="45" t="str">
        <x:v>Post-formal diagnostic</x:v>
      </x:c>
      <x:c r="B11" s="45" t="str">
        <x:v>Baseline S7/S8</x:v>
      </x:c>
      <x:c r="C11" s="45" t="str">
        <x:v>Validator runs</x:v>
      </x:c>
      <x:c r="D11" s="45" t="n">
        <x:v>2</x:v>
      </x:c>
      <x:c r="E11" s="45" t="n">
        <x:v>2</x:v>
      </x:c>
      <x:c r="F11" s="46" t="n">
        <x:f>IF(G11="INCOMPLETE","",IF(E11=0,"",D11/E11))</x:f>
        <x:v>1</x:v>
      </x:c>
      <x:c r="G11" s="45" t="str">
        <x:v>PASS</x:v>
      </x:c>
      <x:c r="H11" s="45" t="str">
        <x:v>Each run passed 126/126 checks</x:v>
      </x:c>
    </x:row>
  </x:sheetData>
  <x:mergeCells>
    <x:mergeCell ref="A1:H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58" hidden="0" customWidth="1"/>
    <x:col min="3" max="3" width="48" hidden="0" customWidth="1"/>
    <x:col min="4" max="4" width="38" hidden="0" customWidth="1"/>
  </x:cols>
  <x:sheetData>
    <x:row r="1" ht="18" hidden="0" customHeight="1">
      <x:c r="A1" s="3" t="str">
        <x:v>File guide / 文件导航</x:v>
      </x:c>
      <x:c r="B1" s="3" t="str">
        <x:v>File guide / 文件导航</x:v>
      </x:c>
      <x:c r="C1" s="3" t="str">
        <x:v>File guide / 文件导航</x:v>
      </x:c>
      <x:c r="D1" s="3" t="str">
        <x:v>File guide / 文件导航</x:v>
      </x:c>
    </x:row>
    <x:row r="2" ht="15" hidden="0" customHeight="1">
      <x:c r="A2" s="8" t="str">
        <x:v>Order</x:v>
      </x:c>
      <x:c r="B2" s="8" t="str">
        <x:v>Path</x:v>
      </x:c>
      <x:c r="C2" s="8" t="str">
        <x:v>Contains</x:v>
      </x:c>
      <x:c r="D2" s="8" t="str">
        <x:v>Use</x:v>
      </x:c>
    </x:row>
    <x:row r="3" ht="15" hidden="0" customHeight="1">
      <x:c r="A3" s="12" t="n">
        <x:v>1</x:v>
      </x:c>
      <x:c r="B3" s="12" t="str">
        <x:v>00_先读_README.md</x:v>
      </x:c>
      <x:c r="C3" s="12" t="str">
        <x:v>Scope, key results, boundaries</x:v>
      </x:c>
      <x:c r="D3" s="12" t="str">
        <x:v>Start here</x:v>
      </x:c>
    </x:row>
    <x:row r="4" ht="15" hidden="0" customHeight="1">
      <x:c r="A4" s="12" t="n">
        <x:v>2</x:v>
      </x:c>
      <x:c r="B4" s="12" t="str">
        <x:v>01_结果_Results/总表_Results.xlsx</x:v>
      </x:c>
      <x:c r="C4" s="12" t="str">
        <x:v>Formal, A/B, MP/UCR, SLC/RAC</x:v>
      </x:c>
      <x:c r="D4" s="12" t="str">
        <x:v>Primary result table</x:v>
      </x:c>
    </x:row>
    <x:row r="5" ht="15" hidden="0" customHeight="1">
      <x:c r="A5" s="12" t="n">
        <x:v>3</x:v>
      </x:c>
      <x:c r="B5" s="12" t="str">
        <x:v>01_结果_Results/论文结果_Report_Text.md</x:v>
      </x:c>
      <x:c r="C5" s="12" t="str">
        <x:v>Concise bilingual result wording</x:v>
      </x:c>
      <x:c r="D5" s="12" t="str">
        <x:v>Adapt into thesis</x:v>
      </x:c>
    </x:row>
    <x:row r="6" ht="15" hidden="0" customHeight="1">
      <x:c r="A6" s="12" t="n">
        <x:v>4</x:v>
      </x:c>
      <x:c r="B6" s="12" t="str">
        <x:v>02_编码_Coding/范围说明_Scope.md</x:v>
      </x:c>
      <x:c r="C6" s="12" t="str">
        <x:v>Old MVP vs later Baseline scope</x:v>
      </x:c>
      <x:c r="D6" s="12" t="str">
        <x:v>Prevent pooling/misreporting</x:v>
      </x:c>
    </x:row>
    <x:row r="7" ht="15" hidden="0" customHeight="1">
      <x:c r="A7" s="12" t="n">
        <x:v>5</x:v>
      </x:c>
      <x:c r="B7" s="12" t="str">
        <x:v>02_编码_Coding/P1_Coder01.xlsx; P1_Coder02.xlsx</x:v>
      </x:c>
      <x:c r="C7" s="12" t="str">
        <x:v>Independent Phase 1 returns</x:v>
      </x:c>
      <x:c r="D7" s="12" t="str">
        <x:v>Raw coder evidence</x:v>
      </x:c>
    </x:row>
    <x:row r="8" ht="15" hidden="0" customHeight="1">
      <x:c r="A8" s="12" t="n">
        <x:v>6</x:v>
      </x:c>
      <x:c r="B8" s="12" t="str">
        <x:v>02_编码_Coding/协调清理_Recon_Clean.xlsx</x:v>
      </x:c>
      <x:c r="C8" s="12" t="str">
        <x:v>Confirmed 46-proposition inventory</x:v>
      </x:c>
      <x:c r="D8" s="12" t="str">
        <x:v>Phase 2 freeze source</x:v>
      </x:c>
    </x:row>
    <x:row r="9" ht="15" hidden="0" customHeight="1">
      <x:c r="A9" s="12" t="n">
        <x:v>7</x:v>
      </x:c>
      <x:c r="B9" s="12" t="str">
        <x:v>02_编码_Coding/P2_Coder01.xlsx; P2_Coder02.xlsx</x:v>
      </x:c>
      <x:c r="C9" s="12" t="str">
        <x:v>Independent Phase 2 returns</x:v>
      </x:c>
      <x:c r="D9" s="12" t="str">
        <x:v>Raw coder evidence</x:v>
      </x:c>
    </x:row>
    <x:row r="10" ht="15" hidden="0" customHeight="1">
      <x:c r="A10" s="12" t="n">
        <x:v>8</x:v>
      </x:c>
      <x:c r="B10" s="12" t="str">
        <x:v>03_要求_Req/要求对照_Map.md</x:v>
      </x:c>
      <x:c r="C10" s="12" t="str">
        <x:v>Assessment and feedback navigation</x:v>
      </x:c>
      <x:c r="D10" s="12" t="str">
        <x:v>Submission planning</x:v>
      </x:c>
    </x:row>
    <x:row r="11" ht="15" hidden="0" customHeight="1">
      <x:c r="A11" s="12" t="n">
        <x:v>9</x:v>
      </x:c>
      <x:c r="B11" s="12" t="str">
        <x:v>04_原证据_Core; 99_校验_Integrity</x:v>
      </x:c>
      <x:c r="C11" s="12" t="str">
        <x:v>Raw/formal evidence and hashes</x:v>
      </x:c>
      <x:c r="D11" s="12" t="str">
        <x:v>Audit and verification</x:v>
      </x:c>
    </x:row>
  </x:sheetData>
  <x:mergeCells>
    <x:mergeCell ref="A1:D1"/>
  </x:mergeCells>
  <x:pageMargins left="0.7" right="0.7" top="0.75" bottom="0.75" header="0.3" footer="0.3"/>
</x:worksheet>
</file>